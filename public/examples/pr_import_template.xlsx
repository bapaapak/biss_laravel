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84"/>
  </bookViews>
  <sheets>
    <sheet name="Qi 2.1 TAM 410D" sheetId="1" r:id="rId1"/>
    <sheet name="SDPPI Motrex" sheetId="2" state="hidden" r:id="rId2"/>
    <sheet name="Antenna TUV" sheetId="3" state="hidden" r:id="rId3"/>
    <sheet name="Antenna Qualis" sheetId="4" state="hidden" r:id="rId4"/>
    <sheet name="Antenna Sucofindo" sheetId="5" state="hidden" r:id="rId5"/>
  </sheets>
  <definedNames>
    <definedName name="_xlnm._FilterDatabase" localSheetId="3" hidden="1">'Antenna Qualis'!$C$1:$C$10</definedName>
    <definedName name="_xlnm._FilterDatabase" localSheetId="4" hidden="1">'Antenna Sucofindo'!$C$1:$C$10</definedName>
    <definedName name="_xlnm._FilterDatabase" localSheetId="2" hidden="1">'Antenna TUV'!$C$1:$C$10</definedName>
    <definedName name="_xlnm._FilterDatabase" localSheetId="0" hidden="1">'Qi 2.1 TAM 410D'!$C$1:$C$9</definedName>
    <definedName name="_xlnm._FilterDatabase" localSheetId="1" hidden="1">'SDPPI Motrex'!$C$1:$C$11</definedName>
    <definedName name="_xlnm.Print_Area" localSheetId="3">'Antenna Qualis'!$A$1:$AC$31</definedName>
    <definedName name="_xlnm.Print_Area" localSheetId="4">'Antenna Sucofindo'!$A$1:$AC$25</definedName>
    <definedName name="_xlnm.Print_Area" localSheetId="2">'Antenna TUV'!$A$1:$AC$35</definedName>
    <definedName name="_xlnm.Print_Area" localSheetId="0">'Qi 2.1 TAM 410D'!$A$1:$AC$18</definedName>
    <definedName name="_xlnm.Print_Area" localSheetId="1">'SDPPI Motrex'!$A$1:$AC$24</definedName>
  </definedNames>
  <calcPr calcId="162913"/>
</workbook>
</file>

<file path=xl/calcChain.xml><?xml version="1.0" encoding="utf-8"?>
<calcChain xmlns="http://schemas.openxmlformats.org/spreadsheetml/2006/main">
  <c r="P9" i="5" l="1"/>
  <c r="P11" i="5" s="1"/>
  <c r="O9" i="4"/>
  <c r="P9" i="4" s="1"/>
  <c r="P11" i="4" s="1"/>
  <c r="P9" i="3"/>
  <c r="P11" i="3" s="1"/>
  <c r="J15" i="2"/>
  <c r="P10" i="2"/>
  <c r="P9" i="2"/>
  <c r="P12" i="2" s="1"/>
  <c r="K15" i="2" s="1"/>
  <c r="J13" i="1"/>
  <c r="L13" i="1" s="1"/>
  <c r="P9" i="1"/>
  <c r="P10" i="1" s="1"/>
  <c r="K13" i="1" s="1"/>
  <c r="O9" i="1"/>
  <c r="L15" i="2" l="1"/>
</calcChain>
</file>

<file path=xl/sharedStrings.xml><?xml version="1.0" encoding="utf-8"?>
<sst xmlns="http://schemas.openxmlformats.org/spreadsheetml/2006/main" count="292" uniqueCount="114">
  <si>
    <t>FORM PERMINTAAN PEMBELIAN</t>
  </si>
  <si>
    <t>DEPT</t>
  </si>
  <si>
    <t>: PDWH / PDA / RND (PILIH SALAH SATU)</t>
  </si>
  <si>
    <t>PERIODE</t>
  </si>
  <si>
    <t>: 2026</t>
  </si>
  <si>
    <t>PT DHARMA ELECTRINDO MFG</t>
  </si>
  <si>
    <t>TYPE</t>
  </si>
  <si>
    <t>: JASA / INVESTASI / SPAREPART / MATERIAL (PILIH SALAH SATU)</t>
  </si>
  <si>
    <t>Tgl Pengajuan</t>
  </si>
  <si>
    <t>: 06/01/2026</t>
  </si>
  <si>
    <t>NO IO SAP</t>
  </si>
  <si>
    <t>No Cost Center</t>
  </si>
  <si>
    <t>G/L Account</t>
  </si>
  <si>
    <t>Asset Under Construction</t>
  </si>
  <si>
    <t>No.</t>
  </si>
  <si>
    <t>TGL PR</t>
  </si>
  <si>
    <t>NO PR</t>
  </si>
  <si>
    <t>Budget</t>
  </si>
  <si>
    <t>Item ID</t>
  </si>
  <si>
    <t xml:space="preserve">Item Name/Description </t>
  </si>
  <si>
    <t>QTY PR</t>
  </si>
  <si>
    <t>UOM</t>
  </si>
  <si>
    <t xml:space="preserve">@Price </t>
  </si>
  <si>
    <t>Total Price</t>
  </si>
  <si>
    <t>Peruntukan</t>
  </si>
  <si>
    <t>Plant</t>
  </si>
  <si>
    <t>Storage Location</t>
  </si>
  <si>
    <t>PIC</t>
  </si>
  <si>
    <t>Due Date</t>
  </si>
  <si>
    <t>Paraf dan tanggal</t>
  </si>
  <si>
    <t>Paraf yang mengajukan</t>
  </si>
  <si>
    <t>Konfirmasi Dept (manual)</t>
  </si>
  <si>
    <t>Verifikasi div  (manual dan system)</t>
  </si>
  <si>
    <t>Verifikasi controlling budget (Manual dan system)</t>
  </si>
  <si>
    <t>Approval Dir (manual dan sistem)</t>
  </si>
  <si>
    <t>PNP</t>
  </si>
  <si>
    <t>Budget A11   "PDA-TAM WH 629D (INNOVA ZENIX) : TESTING-Sertifikat Qi2.1 "</t>
  </si>
  <si>
    <t>Sertifikasi Qi 2.1 Wireless Charger (WLC) TAM 410D&amp;412D</t>
  </si>
  <si>
    <t>Lot</t>
  </si>
  <si>
    <t>Sertifikasi Qi 2.1 untuk Wireless Charger TAM 410D</t>
  </si>
  <si>
    <t>Zidny</t>
  </si>
  <si>
    <t>W2 Januari</t>
  </si>
  <si>
    <t>TOTAL</t>
  </si>
  <si>
    <t>No</t>
  </si>
  <si>
    <t>Item</t>
  </si>
  <si>
    <t>Total Budget</t>
  </si>
  <si>
    <t>Terpakai</t>
  </si>
  <si>
    <t>Sisa Budget</t>
  </si>
  <si>
    <t>Pengajuan PR</t>
  </si>
  <si>
    <t>Sisa Budget Update</t>
  </si>
  <si>
    <t>Budget A11  "PDA-TAM WH 629D (INNOVA ZENIX) : TESTING-Sertifikat Qi2.1 "</t>
  </si>
  <si>
    <t>: 2024</t>
  </si>
  <si>
    <t>: 04/07/24</t>
  </si>
  <si>
    <t>-</t>
  </si>
  <si>
    <t>80000001323-0</t>
  </si>
  <si>
    <t>Budget A11 Silver Box / Head Unit No. C.1  "Testing SDPPI Indonesia"</t>
  </si>
  <si>
    <t>Sertifikasi SDPPI Silver Box SU2id</t>
  </si>
  <si>
    <t>Sertifikasi produk untuk Project SU2id</t>
  </si>
  <si>
    <t>W3 Juli</t>
  </si>
  <si>
    <t>80000001324-0</t>
  </si>
  <si>
    <t>Testing untuk Sertifikasi SDPPI Silver Box SU2id</t>
  </si>
  <si>
    <t>Testing untuk Sertifikasi produk untuk Project SU2id</t>
  </si>
  <si>
    <t>A11 Silver Box / Head Unit No. C.1  "Testing SDPPI Indonesia"</t>
  </si>
  <si>
    <t>NOTE : MOHON ISI KOLOM YANG BERWARNA HIJAU</t>
  </si>
  <si>
    <t>: 01/07/24</t>
  </si>
  <si>
    <t>80000001325-0</t>
  </si>
  <si>
    <t>BUDGET A11 Antenna Assy YTB 
C.8 Certificate CE Thailand
C.3 SDPPI Phillipines
C.4 SDPPI Pakistan
C.5 SDPPI Thailand
C.1 PV TEST</t>
  </si>
  <si>
    <t>Testing Electrical &amp; Sertifikasi Frequency Antenna YTB</t>
  </si>
  <si>
    <t>Pengujian produk antenna</t>
  </si>
  <si>
    <t xml:space="preserve">Test List : </t>
  </si>
  <si>
    <t>1. Normal Power Supply Voltage Test</t>
  </si>
  <si>
    <t>2. Power Source Micro Interruption  Test</t>
  </si>
  <si>
    <t>3. Over Voltage Test (A Method)</t>
  </si>
  <si>
    <t>4. Over Voltage Test (B Method)</t>
  </si>
  <si>
    <t>5. Transcient Voltage Characteristics Test</t>
  </si>
  <si>
    <t>6. Power Supply Inverse Polarity Connection Test</t>
  </si>
  <si>
    <t>7. Electrostatic Test</t>
  </si>
  <si>
    <t>8. Impulse Noise Test</t>
  </si>
  <si>
    <t>9. Voltage On-Off Cycle Test</t>
  </si>
  <si>
    <t>10. Conduction Interference</t>
  </si>
  <si>
    <t>11. Electromagnetic Proof (ESA)</t>
  </si>
  <si>
    <t>12. Radiation Electromagnetic Wave (ESA)</t>
  </si>
  <si>
    <t>13. Conduction Emission</t>
  </si>
  <si>
    <t>14. Radiation Electromagnetic Wave (GPS Band)</t>
  </si>
  <si>
    <t>15. Sertifikasi NTC (Philipines)</t>
  </si>
  <si>
    <t>16. Sertifikasi PTA (Pakistan)</t>
  </si>
  <si>
    <t>17. Sertifikasi NBTC (Thailand)</t>
  </si>
  <si>
    <t>18. Sertifikasi CE</t>
  </si>
  <si>
    <t>80000001326-0</t>
  </si>
  <si>
    <t>BUDGET A11 Antenna Assy YTB 
C.1 PV TEST</t>
  </si>
  <si>
    <t xml:space="preserve">Testing Realiability Antenna YTB QLS </t>
  </si>
  <si>
    <t>1. Low Temperature Exposure Test</t>
  </si>
  <si>
    <t>2. High Temperature Exposure Test</t>
  </si>
  <si>
    <t>3. Low Temperature Operation Test</t>
  </si>
  <si>
    <t>4. High Temperature Operation Test</t>
  </si>
  <si>
    <t>5. Temperature Cycle Test</t>
  </si>
  <si>
    <t>6. Vibration Test</t>
  </si>
  <si>
    <t>7. Shock Test</t>
  </si>
  <si>
    <t>8. Dust Test</t>
  </si>
  <si>
    <t>9. Salt Spray Test</t>
  </si>
  <si>
    <t>10. Water Resistance</t>
  </si>
  <si>
    <t>11. High Pressure Car Wash Test</t>
  </si>
  <si>
    <t>12. Low Temperature Shock Test</t>
  </si>
  <si>
    <t>13. Cable Extraction Strength Test</t>
  </si>
  <si>
    <t>80000001327-0</t>
  </si>
  <si>
    <t>Testing Realiability Antenna YTB SCF</t>
  </si>
  <si>
    <t>1. Temperature Characteristic Test</t>
  </si>
  <si>
    <t>2. Thermal Shock Test</t>
  </si>
  <si>
    <t>3. Constant Humidity Test</t>
  </si>
  <si>
    <t>4. Combination Environmental Test</t>
  </si>
  <si>
    <t>5. Temperature and Humidity Test</t>
  </si>
  <si>
    <t>6. Bedewing Test</t>
  </si>
  <si>
    <t>7. Terminal Strength Test</t>
  </si>
  <si>
    <t>8. Scratch Resistance (Resin, Rubber)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</si>
</sst>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&quot;Rp&quot;* #,##0_-;\-&quot;Rp&quot;* #,##0_-;_-&quot;Rp&quot;* &quot;-&quot;??_-;_-@_-"/>
    <numFmt numFmtId="165" formatCode="_([$Rp]* #,##0_);_([$Rp]* \(#,##0\);_([$Rp]* &quot;-&quot;_);_(@_)"/>
    <numFmt numFmtId="166" formatCode="&quot;Rp&quot;#,##0"/>
    <numFmt numFmtId="167" formatCode="_([$Rp]* #,##0.00_);_([$Rp]* \(#,##0.00\);_([$Rp]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72"/>
      <color theme="1"/>
      <name val="Aptos Narrow"/>
      <family val="2"/>
    </font>
    <font>
      <b/>
      <sz val="28"/>
      <color theme="1"/>
      <name val="Aptos Narrow"/>
      <family val="2"/>
    </font>
    <font>
      <b/>
      <sz val="20"/>
      <color theme="1"/>
      <name val="Aptos Narrow"/>
      <family val="2"/>
    </font>
    <font>
      <b/>
      <sz val="16"/>
      <color theme="1"/>
      <name val="Aptos Narrow"/>
      <family val="2"/>
    </font>
    <font>
      <b/>
      <sz val="26"/>
      <color theme="1"/>
      <name val="Aptos Narrow"/>
      <family val="2"/>
    </font>
    <font>
      <b/>
      <sz val="26"/>
      <name val="Aptos Narrow"/>
      <family val="2"/>
    </font>
    <font>
      <b/>
      <sz val="22"/>
      <color theme="1"/>
      <name val="Aptos Narrow"/>
      <family val="2"/>
    </font>
    <font>
      <sz val="24"/>
      <color theme="1"/>
      <name val="Aptos Narrow"/>
      <family val="2"/>
    </font>
    <font>
      <sz val="20"/>
      <color theme="1"/>
      <name val="Aptos Narrow"/>
      <family val="2"/>
    </font>
    <font>
      <sz val="20"/>
      <name val="Aptos Narrow"/>
      <family val="2"/>
    </font>
    <font>
      <sz val="24"/>
      <name val="Aptos Narrow"/>
      <family val="2"/>
    </font>
    <font>
      <sz val="26"/>
      <color theme="1"/>
      <name val="Aptos Narrow"/>
      <family val="2"/>
    </font>
    <font>
      <b/>
      <sz val="24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167" fontId="1" fillId="0" borderId="0"/>
    <xf numFmtId="167" fontId="1" fillId="0" borderId="0"/>
    <xf numFmtId="167" fontId="1" fillId="0" borderId="0"/>
    <xf numFmtId="0" fontId="1" fillId="0" borderId="0"/>
  </cellStyleXfs>
  <cellXfs count="97">
    <xf numFmtId="0" fontId="0" fillId="0" borderId="0" xfId="0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2" fillId="2" borderId="0" xfId="0" applyFont="1" applyFill="1" applyAlignment="1"/>
    <xf numFmtId="0" fontId="2" fillId="0" borderId="0" xfId="0" applyFont="1" applyAlignment="1">
      <alignment horizontal="center"/>
    </xf>
    <xf numFmtId="0" fontId="2" fillId="0" borderId="8" xfId="0" applyFont="1" applyBorder="1" applyAlignment="1"/>
    <xf numFmtId="0" fontId="2" fillId="0" borderId="11" xfId="0" applyFont="1" applyBorder="1" applyAlignment="1"/>
    <xf numFmtId="0" fontId="4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 indent="1"/>
    </xf>
    <xf numFmtId="0" fontId="7" fillId="0" borderId="11" xfId="0" applyFont="1" applyBorder="1" applyAlignment="1"/>
    <xf numFmtId="0" fontId="7" fillId="0" borderId="12" xfId="0" applyFont="1" applyBorder="1" applyAlignment="1">
      <alignment vertical="center" wrapText="1"/>
    </xf>
    <xf numFmtId="0" fontId="7" fillId="0" borderId="0" xfId="0" applyFont="1" applyAlignment="1"/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 vertical="center"/>
    </xf>
    <xf numFmtId="0" fontId="10" fillId="0" borderId="1" xfId="4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14" fontId="10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2" fillId="0" borderId="12" xfId="0" applyFont="1" applyBorder="1" applyAlignment="1"/>
    <xf numFmtId="0" fontId="2" fillId="0" borderId="13" xfId="0" applyFont="1" applyBorder="1" applyAlignment="1"/>
    <xf numFmtId="0" fontId="2" fillId="0" borderId="14" xfId="0" applyFont="1" applyBorder="1" applyAlignment="1">
      <alignment vertical="center"/>
    </xf>
    <xf numFmtId="0" fontId="2" fillId="0" borderId="14" xfId="0" applyFont="1" applyBorder="1" applyAlignment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/>
    <xf numFmtId="0" fontId="14" fillId="0" borderId="0" xfId="0" applyFont="1" applyAlignment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0" fillId="0" borderId="0" xfId="0" applyFont="1" applyAlignment="1"/>
    <xf numFmtId="0" fontId="15" fillId="0" borderId="0" xfId="0" applyFont="1" applyAlignment="1"/>
    <xf numFmtId="0" fontId="10" fillId="0" borderId="11" xfId="0" applyFont="1" applyBorder="1" applyAlignment="1"/>
    <xf numFmtId="0" fontId="10" fillId="0" borderId="0" xfId="0" applyFont="1" applyAlignment="1">
      <alignment horizontal="center"/>
    </xf>
    <xf numFmtId="0" fontId="10" fillId="0" borderId="12" xfId="0" applyFont="1" applyBorder="1" applyAlignment="1"/>
    <xf numFmtId="0" fontId="10" fillId="0" borderId="13" xfId="0" applyFont="1" applyBorder="1" applyAlignment="1"/>
    <xf numFmtId="0" fontId="10" fillId="0" borderId="14" xfId="0" applyFont="1" applyBorder="1" applyAlignment="1">
      <alignment vertical="center"/>
    </xf>
    <xf numFmtId="0" fontId="10" fillId="0" borderId="14" xfId="0" applyFont="1" applyBorder="1" applyAlignment="1"/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/>
    <xf numFmtId="0" fontId="15" fillId="0" borderId="0" xfId="0" applyFont="1" applyAlignment="1">
      <alignment vertical="center"/>
    </xf>
    <xf numFmtId="0" fontId="14" fillId="0" borderId="11" xfId="0" applyFont="1" applyBorder="1" applyAlignment="1"/>
    <xf numFmtId="0" fontId="14" fillId="0" borderId="12" xfId="0" applyFont="1" applyBorder="1" applyAlignment="1"/>
    <xf numFmtId="14" fontId="10" fillId="0" borderId="1" xfId="0" applyNumberFormat="1" applyFont="1" applyBorder="1" applyAlignment="1">
      <alignment horizontal="center" vertical="center" wrapText="1"/>
    </xf>
    <xf numFmtId="0" fontId="10" fillId="0" borderId="1" xfId="4" quotePrefix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2" xfId="4" applyFont="1" applyBorder="1" applyAlignment="1">
      <alignment horizontal="center" vertical="center"/>
    </xf>
    <xf numFmtId="0" fontId="10" fillId="3" borderId="2" xfId="4" quotePrefix="1" applyFont="1" applyFill="1" applyBorder="1" applyAlignment="1">
      <alignment horizontal="center" vertical="center"/>
    </xf>
    <xf numFmtId="1" fontId="10" fillId="0" borderId="2" xfId="3" applyNumberFormat="1" applyFont="1" applyBorder="1" applyAlignment="1">
      <alignment horizontal="center" vertical="center"/>
    </xf>
    <xf numFmtId="166" fontId="10" fillId="0" borderId="1" xfId="4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 wrapText="1"/>
    </xf>
    <xf numFmtId="164" fontId="15" fillId="0" borderId="0" xfId="0" applyNumberFormat="1" applyFont="1" applyAlignment="1"/>
    <xf numFmtId="164" fontId="14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13" fillId="0" borderId="1" xfId="4" applyNumberFormat="1" applyFont="1" applyBorder="1" applyAlignment="1">
      <alignment vertical="center" wrapText="1"/>
    </xf>
    <xf numFmtId="164" fontId="13" fillId="0" borderId="1" xfId="4" applyNumberFormat="1" applyFont="1" applyBorder="1" applyAlignment="1">
      <alignment horizontal="center" vertical="center"/>
    </xf>
    <xf numFmtId="164" fontId="7" fillId="0" borderId="0" xfId="0" applyNumberFormat="1" applyFont="1" applyAlignment="1"/>
    <xf numFmtId="0" fontId="7" fillId="0" borderId="1" xfId="0" applyFont="1" applyBorder="1" applyAlignment="1">
      <alignment horizontal="center" vertical="center" wrapText="1"/>
    </xf>
    <xf numFmtId="0" fontId="0" fillId="0" borderId="3" xfId="0" applyBorder="1" applyAlignment="1"/>
    <xf numFmtId="0" fontId="7" fillId="0" borderId="4" xfId="0" applyFont="1" applyBorder="1" applyAlignment="1">
      <alignment horizontal="center" vertical="center" wrapText="1"/>
    </xf>
    <xf numFmtId="0" fontId="0" fillId="0" borderId="16" xfId="0" applyBorder="1" applyAlignment="1"/>
    <xf numFmtId="0" fontId="7" fillId="0" borderId="1" xfId="0" applyFont="1" applyBorder="1" applyAlignment="1">
      <alignment horizontal="center" vertical="center"/>
    </xf>
    <xf numFmtId="0" fontId="0" fillId="0" borderId="5" xfId="0" applyBorder="1" applyAlignment="1"/>
    <xf numFmtId="0" fontId="14" fillId="0" borderId="1" xfId="0" applyFont="1" applyBorder="1" applyAlignment="1">
      <alignment horizontal="center" vertical="center" wrapText="1"/>
    </xf>
    <xf numFmtId="1" fontId="8" fillId="0" borderId="1" xfId="2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6" xfId="0" applyBorder="1" applyAlignment="1"/>
    <xf numFmtId="0" fontId="0" fillId="0" borderId="7" xfId="0" applyBorder="1" applyAlignment="1"/>
    <xf numFmtId="167" fontId="7" fillId="0" borderId="1" xfId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9" xfId="0" applyBorder="1" applyAlignment="1"/>
    <xf numFmtId="0" fontId="0" fillId="0" borderId="10" xfId="0" applyBorder="1" applyAlignme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0" fillId="0" borderId="1" xfId="4" applyFont="1" applyBorder="1" applyAlignment="1">
      <alignment horizontal="center" vertical="center"/>
    </xf>
    <xf numFmtId="0" fontId="10" fillId="3" borderId="1" xfId="4" quotePrefix="1" applyFont="1" applyFill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 vertical="center"/>
    </xf>
  </cellXfs>
  <cellStyles count="5">
    <cellStyle name="Normal" xfId="0" builtinId="0"/>
    <cellStyle name="Normal 12 2" xfId="1"/>
    <cellStyle name="Normal 21" xfId="3"/>
    <cellStyle name="Normal 22" xfId="2"/>
    <cellStyle name="Normal 7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18"/>
  <sheetViews>
    <sheetView tabSelected="1" view="pageBreakPreview" zoomScale="25" zoomScaleNormal="25" zoomScaleSheetLayoutView="25" workbookViewId="0">
      <selection activeCell="P21" sqref="P21"/>
    </sheetView>
  </sheetViews>
  <sheetFormatPr defaultColWidth="9" defaultRowHeight="39.9" customHeight="1"/>
  <cols>
    <col min="1" max="2" width="9" style="1" customWidth="1"/>
    <col min="3" max="3" width="38.109375" style="2" customWidth="1"/>
    <col min="4" max="4" width="30.5546875" style="2" customWidth="1"/>
    <col min="5" max="5" width="58.5546875" style="2" customWidth="1"/>
    <col min="6" max="6" width="34.44140625" style="2" customWidth="1"/>
    <col min="7" max="7" width="9.5546875" style="1" customWidth="1"/>
    <col min="8" max="8" width="40.109375" style="1" bestFit="1" customWidth="1"/>
    <col min="9" max="9" width="35.6640625" style="1" customWidth="1"/>
    <col min="10" max="10" width="64.33203125" style="1" customWidth="1"/>
    <col min="11" max="11" width="41.44140625" style="3" customWidth="1"/>
    <col min="12" max="12" width="75.6640625" style="1" customWidth="1"/>
    <col min="13" max="14" width="16.88671875" style="1" customWidth="1"/>
    <col min="15" max="15" width="45" style="1" customWidth="1"/>
    <col min="16" max="16" width="54" style="1" customWidth="1"/>
    <col min="17" max="17" width="50" style="1" customWidth="1"/>
    <col min="18" max="18" width="14.5546875" style="4" customWidth="1"/>
    <col min="19" max="19" width="26.33203125" style="4" customWidth="1"/>
    <col min="20" max="20" width="19.5546875" style="4" customWidth="1"/>
    <col min="21" max="21" width="24" style="4" customWidth="1"/>
    <col min="22" max="27" width="29.5546875" style="1" customWidth="1"/>
    <col min="28" max="28" width="8.44140625" style="1" customWidth="1"/>
    <col min="29" max="29" width="3.88671875" style="1" customWidth="1"/>
    <col min="30" max="34" width="9" style="1" customWidth="1"/>
    <col min="35" max="16384" width="9" style="1"/>
  </cols>
  <sheetData>
    <row r="1" spans="2:28" ht="39.9" customHeight="1" thickBot="1"/>
    <row r="2" spans="2:28" ht="118.5" customHeight="1">
      <c r="B2" s="5"/>
      <c r="C2" s="89" t="s">
        <v>0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1"/>
    </row>
    <row r="3" spans="2:28" ht="39.9" customHeight="1">
      <c r="B3" s="6"/>
      <c r="G3" s="2"/>
      <c r="H3" s="7" t="s">
        <v>1</v>
      </c>
      <c r="I3" s="7" t="s">
        <v>2</v>
      </c>
      <c r="J3" s="2"/>
      <c r="K3" s="8"/>
      <c r="L3" s="2"/>
      <c r="M3" s="9"/>
      <c r="N3" s="2"/>
      <c r="O3" s="2"/>
      <c r="P3" s="64"/>
      <c r="Q3" s="2"/>
      <c r="R3" s="10"/>
      <c r="S3" s="10"/>
      <c r="T3" s="10"/>
      <c r="U3" s="10"/>
      <c r="V3" s="2"/>
      <c r="W3" s="2"/>
      <c r="X3" s="2"/>
      <c r="Y3" s="2"/>
      <c r="Z3" s="2"/>
      <c r="AA3" s="2"/>
      <c r="AB3" s="11"/>
    </row>
    <row r="4" spans="2:28" ht="39.9" customHeight="1">
      <c r="B4" s="6"/>
      <c r="G4" s="2"/>
      <c r="H4" s="7" t="s">
        <v>3</v>
      </c>
      <c r="I4" s="7" t="s">
        <v>4</v>
      </c>
      <c r="J4" s="2"/>
      <c r="K4" s="8"/>
      <c r="L4" s="2"/>
      <c r="M4" s="9"/>
      <c r="N4" s="2"/>
      <c r="O4" s="2"/>
      <c r="P4" s="64"/>
      <c r="Q4" s="2"/>
      <c r="R4" s="10"/>
      <c r="S4" s="10"/>
      <c r="T4" s="10"/>
      <c r="U4" s="10"/>
      <c r="V4" s="2"/>
      <c r="W4" s="2"/>
      <c r="X4" s="2"/>
      <c r="Y4" s="2"/>
      <c r="Z4" s="2"/>
      <c r="AA4" s="2"/>
      <c r="AB4" s="11"/>
    </row>
    <row r="5" spans="2:28" ht="39.9" customHeight="1">
      <c r="B5" s="6"/>
      <c r="D5" s="92" t="s">
        <v>5</v>
      </c>
      <c r="E5" s="93"/>
      <c r="G5" s="12"/>
      <c r="H5" s="7" t="s">
        <v>6</v>
      </c>
      <c r="I5" s="7" t="s">
        <v>7</v>
      </c>
      <c r="J5" s="12"/>
      <c r="K5" s="13"/>
      <c r="L5" s="2"/>
      <c r="M5" s="9"/>
      <c r="N5" s="2"/>
      <c r="O5" s="2"/>
      <c r="P5" s="14"/>
      <c r="Q5" s="2"/>
      <c r="R5" s="10"/>
      <c r="S5" s="10"/>
      <c r="T5" s="10"/>
      <c r="U5" s="10"/>
      <c r="V5" s="2"/>
      <c r="W5" s="2"/>
      <c r="X5" s="2"/>
      <c r="Y5" s="2"/>
      <c r="Z5" s="2"/>
      <c r="AA5" s="2"/>
      <c r="AB5" s="11"/>
    </row>
    <row r="6" spans="2:28" ht="39.9" customHeight="1">
      <c r="B6" s="6"/>
      <c r="G6" s="2"/>
      <c r="H6" s="7" t="s">
        <v>8</v>
      </c>
      <c r="I6" s="7" t="s">
        <v>9</v>
      </c>
      <c r="J6" s="2"/>
      <c r="K6" s="8"/>
      <c r="L6" s="2"/>
      <c r="M6" s="9"/>
      <c r="N6" s="2"/>
      <c r="O6" s="2"/>
      <c r="P6" s="2"/>
      <c r="Q6" s="2"/>
      <c r="R6" s="10"/>
      <c r="S6" s="10"/>
      <c r="T6" s="10"/>
      <c r="U6" s="10"/>
      <c r="V6" s="2"/>
      <c r="W6" s="2"/>
      <c r="X6" s="2"/>
      <c r="Y6" s="2"/>
      <c r="Z6" s="2"/>
      <c r="AA6" s="2"/>
      <c r="AB6" s="11"/>
    </row>
    <row r="7" spans="2:28" s="17" customFormat="1" ht="39.9" customHeight="1">
      <c r="B7" s="15"/>
      <c r="C7" s="87" t="s">
        <v>10</v>
      </c>
      <c r="D7" s="83" t="s">
        <v>11</v>
      </c>
      <c r="E7" s="87" t="s">
        <v>12</v>
      </c>
      <c r="F7" s="83" t="s">
        <v>13</v>
      </c>
      <c r="G7" s="78" t="s">
        <v>14</v>
      </c>
      <c r="H7" s="76" t="s">
        <v>15</v>
      </c>
      <c r="I7" s="76" t="s">
        <v>16</v>
      </c>
      <c r="J7" s="84" t="s">
        <v>17</v>
      </c>
      <c r="K7" s="76" t="s">
        <v>18</v>
      </c>
      <c r="L7" s="76" t="s">
        <v>19</v>
      </c>
      <c r="M7" s="76" t="s">
        <v>20</v>
      </c>
      <c r="N7" s="76" t="s">
        <v>21</v>
      </c>
      <c r="O7" s="76" t="s">
        <v>22</v>
      </c>
      <c r="P7" s="76" t="s">
        <v>23</v>
      </c>
      <c r="Q7" s="76" t="s">
        <v>24</v>
      </c>
      <c r="R7" s="76" t="s">
        <v>25</v>
      </c>
      <c r="S7" s="76" t="s">
        <v>26</v>
      </c>
      <c r="T7" s="76" t="s">
        <v>27</v>
      </c>
      <c r="U7" s="76" t="s">
        <v>28</v>
      </c>
      <c r="V7" s="76" t="s">
        <v>29</v>
      </c>
      <c r="W7" s="86"/>
      <c r="X7" s="86"/>
      <c r="Y7" s="86"/>
      <c r="Z7" s="86"/>
      <c r="AA7" s="81"/>
      <c r="AB7" s="16"/>
    </row>
    <row r="8" spans="2:28" s="17" customFormat="1" ht="144" customHeight="1">
      <c r="B8" s="15"/>
      <c r="C8" s="77"/>
      <c r="D8" s="77"/>
      <c r="E8" s="77"/>
      <c r="F8" s="77"/>
      <c r="G8" s="79"/>
      <c r="H8" s="77"/>
      <c r="I8" s="77"/>
      <c r="J8" s="85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18" t="s">
        <v>30</v>
      </c>
      <c r="W8" s="18" t="s">
        <v>31</v>
      </c>
      <c r="X8" s="18" t="s">
        <v>32</v>
      </c>
      <c r="Y8" s="18" t="s">
        <v>33</v>
      </c>
      <c r="Z8" s="18" t="s">
        <v>34</v>
      </c>
      <c r="AA8" s="18" t="s">
        <v>35</v>
      </c>
      <c r="AB8" s="19"/>
    </row>
    <row r="9" spans="2:28" ht="179.1" customHeight="1">
      <c r="B9" s="6"/>
      <c r="C9" s="20">
        <v>1501100938</v>
      </c>
      <c r="D9" s="21">
        <v>1501101000</v>
      </c>
      <c r="E9" s="59"/>
      <c r="F9" s="22"/>
      <c r="G9" s="23">
        <v>1</v>
      </c>
      <c r="H9" s="58"/>
      <c r="I9" s="23"/>
      <c r="J9" s="23" t="s">
        <v>36</v>
      </c>
      <c r="K9" s="60"/>
      <c r="L9" s="25" t="s">
        <v>37</v>
      </c>
      <c r="M9" s="23">
        <v>1</v>
      </c>
      <c r="N9" s="26" t="s">
        <v>38</v>
      </c>
      <c r="O9" s="68">
        <f>8500*16500</f>
        <v>140250000</v>
      </c>
      <c r="P9" s="69">
        <f>O9</f>
        <v>140250000</v>
      </c>
      <c r="Q9" s="23" t="s">
        <v>39</v>
      </c>
      <c r="R9" s="26">
        <v>1515</v>
      </c>
      <c r="S9" s="23">
        <v>1515</v>
      </c>
      <c r="T9" s="26" t="s">
        <v>40</v>
      </c>
      <c r="U9" s="26" t="s">
        <v>41</v>
      </c>
      <c r="V9" s="27"/>
      <c r="W9" s="28"/>
      <c r="X9" s="29"/>
      <c r="Y9" s="27"/>
      <c r="Z9" s="27"/>
      <c r="AA9" s="27"/>
      <c r="AB9" s="30"/>
    </row>
    <row r="10" spans="2:28" ht="39.9" customHeight="1">
      <c r="B10" s="6"/>
      <c r="C10" s="35"/>
      <c r="D10" s="35"/>
      <c r="K10" s="1"/>
      <c r="O10" s="46" t="s">
        <v>42</v>
      </c>
      <c r="P10" s="70">
        <f>SUM(P9:P9)</f>
        <v>140250000</v>
      </c>
      <c r="AB10" s="36"/>
    </row>
    <row r="11" spans="2:28" ht="39.9" customHeight="1">
      <c r="B11" s="6"/>
      <c r="K11" s="1"/>
      <c r="AB11" s="36"/>
    </row>
    <row r="12" spans="2:28" ht="39.9" customHeight="1">
      <c r="B12" s="6"/>
      <c r="C12" s="62" t="s">
        <v>43</v>
      </c>
      <c r="D12" s="80" t="s">
        <v>44</v>
      </c>
      <c r="E12" s="81"/>
      <c r="F12" s="80" t="s">
        <v>45</v>
      </c>
      <c r="G12" s="81"/>
      <c r="H12" s="80" t="s">
        <v>46</v>
      </c>
      <c r="I12" s="81"/>
      <c r="J12" s="62" t="s">
        <v>47</v>
      </c>
      <c r="K12" s="62" t="s">
        <v>48</v>
      </c>
      <c r="L12" s="62" t="s">
        <v>49</v>
      </c>
      <c r="AB12" s="36"/>
    </row>
    <row r="13" spans="2:28" ht="117" customHeight="1">
      <c r="B13" s="6"/>
      <c r="C13" s="63">
        <v>1</v>
      </c>
      <c r="D13" s="82" t="s">
        <v>50</v>
      </c>
      <c r="E13" s="81"/>
      <c r="F13" s="88">
        <v>250000000</v>
      </c>
      <c r="G13" s="81"/>
      <c r="H13" s="88">
        <v>0</v>
      </c>
      <c r="I13" s="81"/>
      <c r="J13" s="71">
        <f>F13-H13</f>
        <v>250000000</v>
      </c>
      <c r="K13" s="71">
        <f>P10</f>
        <v>140250000</v>
      </c>
      <c r="L13" s="72">
        <f>J13-K13</f>
        <v>109750000</v>
      </c>
      <c r="AB13" s="36"/>
    </row>
    <row r="14" spans="2:28" ht="39.9" customHeight="1">
      <c r="B14" s="6"/>
      <c r="J14" s="2"/>
      <c r="K14" s="1"/>
      <c r="AB14" s="36"/>
    </row>
    <row r="15" spans="2:28" ht="39.9" customHeight="1" thickBot="1">
      <c r="B15" s="37"/>
      <c r="C15" s="61"/>
      <c r="D15" s="38"/>
      <c r="E15" s="38"/>
      <c r="F15" s="38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40"/>
      <c r="S15" s="40"/>
      <c r="T15" s="40"/>
      <c r="U15" s="40"/>
      <c r="V15" s="39"/>
      <c r="W15" s="39"/>
      <c r="X15" s="39"/>
      <c r="Y15" s="39"/>
      <c r="Z15" s="39"/>
      <c r="AA15" s="39"/>
      <c r="AB15" s="41"/>
    </row>
    <row r="16" spans="2:28" ht="39.9" customHeight="1">
      <c r="K16" s="1"/>
    </row>
    <row r="17" spans="3:21" ht="39.9" customHeight="1">
      <c r="K17" s="1"/>
    </row>
    <row r="18" spans="3:21" s="42" customFormat="1" ht="39.9" customHeight="1">
      <c r="C18" s="43"/>
      <c r="D18" s="43"/>
      <c r="E18" s="43"/>
      <c r="F18" s="43"/>
      <c r="R18" s="44"/>
      <c r="S18" s="44"/>
      <c r="T18" s="44"/>
      <c r="U18" s="44"/>
    </row>
  </sheetData>
  <autoFilter ref="C1:C9"/>
  <mergeCells count="28">
    <mergeCell ref="C2:AB2"/>
    <mergeCell ref="H13:I13"/>
    <mergeCell ref="Q7:Q8"/>
    <mergeCell ref="D12:E12"/>
    <mergeCell ref="H12:I12"/>
    <mergeCell ref="D5:E5"/>
    <mergeCell ref="F7:F8"/>
    <mergeCell ref="L7:L8"/>
    <mergeCell ref="N7:N8"/>
    <mergeCell ref="V7:AA7"/>
    <mergeCell ref="T7:T8"/>
    <mergeCell ref="C7:C8"/>
    <mergeCell ref="E7:E8"/>
    <mergeCell ref="K7:K8"/>
    <mergeCell ref="O7:O8"/>
    <mergeCell ref="U7:U8"/>
    <mergeCell ref="F12:G12"/>
    <mergeCell ref="D13:E13"/>
    <mergeCell ref="D7:D8"/>
    <mergeCell ref="H7:H8"/>
    <mergeCell ref="J7:J8"/>
    <mergeCell ref="P7:P8"/>
    <mergeCell ref="F13:G13"/>
    <mergeCell ref="R7:R8"/>
    <mergeCell ref="G7:G8"/>
    <mergeCell ref="I7:I8"/>
    <mergeCell ref="M7:M8"/>
    <mergeCell ref="S7:S8"/>
  </mergeCells>
  <pageMargins left="0" right="0" top="0.39370078740157483" bottom="0.39370078740157483" header="0" footer="0"/>
  <pageSetup paperSize="9" scale="17" fitToHeight="0" orientation="landscape" r:id="rId1"/>
  <colBreaks count="1" manualBreakCount="1">
    <brk id="2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24"/>
  <sheetViews>
    <sheetView view="pageBreakPreview" topLeftCell="A8" zoomScale="40" zoomScaleNormal="25" zoomScaleSheetLayoutView="40" workbookViewId="0">
      <selection activeCell="C14" sqref="C14:L15"/>
    </sheetView>
  </sheetViews>
  <sheetFormatPr defaultColWidth="9" defaultRowHeight="39.9" customHeight="1"/>
  <cols>
    <col min="1" max="2" width="9" style="1" customWidth="1"/>
    <col min="3" max="3" width="28.33203125" style="2" customWidth="1"/>
    <col min="4" max="4" width="30.5546875" style="2" customWidth="1"/>
    <col min="5" max="5" width="28.33203125" style="2" customWidth="1"/>
    <col min="6" max="6" width="34.44140625" style="2" customWidth="1"/>
    <col min="7" max="7" width="9.5546875" style="1" customWidth="1"/>
    <col min="8" max="8" width="26.33203125" style="1" bestFit="1" customWidth="1"/>
    <col min="9" max="9" width="35.6640625" style="1" customWidth="1"/>
    <col min="10" max="10" width="64.33203125" style="1" customWidth="1"/>
    <col min="11" max="11" width="35" style="3" customWidth="1"/>
    <col min="12" max="12" width="75.6640625" style="1" customWidth="1"/>
    <col min="13" max="14" width="16.88671875" style="1" customWidth="1"/>
    <col min="15" max="15" width="37.88671875" style="1" customWidth="1"/>
    <col min="16" max="16" width="35.33203125" style="1" customWidth="1"/>
    <col min="17" max="17" width="50" style="1" customWidth="1"/>
    <col min="18" max="18" width="14.5546875" style="4" customWidth="1"/>
    <col min="19" max="19" width="21.44140625" style="4" customWidth="1"/>
    <col min="20" max="20" width="19.5546875" style="4" customWidth="1"/>
    <col min="21" max="21" width="24" style="4" customWidth="1"/>
    <col min="22" max="27" width="29.5546875" style="1" customWidth="1"/>
    <col min="28" max="28" width="8.44140625" style="1" customWidth="1"/>
    <col min="29" max="29" width="3.88671875" style="1" customWidth="1"/>
    <col min="30" max="34" width="9" style="1" customWidth="1"/>
    <col min="35" max="16384" width="9" style="1"/>
  </cols>
  <sheetData>
    <row r="1" spans="2:28" ht="39.9" customHeight="1" thickBot="1"/>
    <row r="2" spans="2:28" ht="118.5" customHeight="1">
      <c r="B2" s="5"/>
      <c r="C2" s="89" t="s">
        <v>0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1"/>
    </row>
    <row r="3" spans="2:28" ht="39.9" customHeight="1">
      <c r="B3" s="6"/>
      <c r="G3" s="2"/>
      <c r="H3" s="7" t="s">
        <v>1</v>
      </c>
      <c r="I3" s="7" t="s">
        <v>2</v>
      </c>
      <c r="J3" s="2"/>
      <c r="K3" s="8"/>
      <c r="L3" s="2"/>
      <c r="M3" s="9"/>
      <c r="N3" s="2"/>
      <c r="O3" s="2"/>
      <c r="P3" s="64"/>
      <c r="Q3" s="2"/>
      <c r="R3" s="10"/>
      <c r="S3" s="10"/>
      <c r="T3" s="10"/>
      <c r="U3" s="10"/>
      <c r="V3" s="2"/>
      <c r="W3" s="2"/>
      <c r="X3" s="2"/>
      <c r="Y3" s="2"/>
      <c r="Z3" s="2"/>
      <c r="AA3" s="2"/>
      <c r="AB3" s="11"/>
    </row>
    <row r="4" spans="2:28" ht="39.9" customHeight="1">
      <c r="B4" s="6"/>
      <c r="G4" s="2"/>
      <c r="H4" s="7" t="s">
        <v>3</v>
      </c>
      <c r="I4" s="7" t="s">
        <v>51</v>
      </c>
      <c r="J4" s="2"/>
      <c r="K4" s="8"/>
      <c r="L4" s="2"/>
      <c r="M4" s="9"/>
      <c r="N4" s="2"/>
      <c r="O4" s="2"/>
      <c r="P4" s="64"/>
      <c r="Q4" s="2"/>
      <c r="R4" s="10"/>
      <c r="S4" s="10"/>
      <c r="T4" s="10"/>
      <c r="U4" s="10"/>
      <c r="V4" s="2"/>
      <c r="W4" s="2"/>
      <c r="X4" s="2"/>
      <c r="Y4" s="2"/>
      <c r="Z4" s="2"/>
      <c r="AA4" s="2"/>
      <c r="AB4" s="11"/>
    </row>
    <row r="5" spans="2:28" ht="39.9" customHeight="1">
      <c r="B5" s="6"/>
      <c r="D5" s="92" t="s">
        <v>5</v>
      </c>
      <c r="E5" s="93"/>
      <c r="G5" s="12"/>
      <c r="H5" s="7" t="s">
        <v>6</v>
      </c>
      <c r="I5" s="7" t="s">
        <v>7</v>
      </c>
      <c r="J5" s="12"/>
      <c r="K5" s="13"/>
      <c r="L5" s="2"/>
      <c r="M5" s="9"/>
      <c r="N5" s="2"/>
      <c r="O5" s="2"/>
      <c r="P5" s="14"/>
      <c r="Q5" s="2"/>
      <c r="R5" s="10"/>
      <c r="S5" s="10"/>
      <c r="T5" s="10"/>
      <c r="U5" s="10"/>
      <c r="V5" s="2"/>
      <c r="W5" s="2"/>
      <c r="X5" s="2"/>
      <c r="Y5" s="2"/>
      <c r="Z5" s="2"/>
      <c r="AA5" s="2"/>
      <c r="AB5" s="11"/>
    </row>
    <row r="6" spans="2:28" ht="39.9" customHeight="1">
      <c r="B6" s="6"/>
      <c r="G6" s="2"/>
      <c r="H6" s="7" t="s">
        <v>8</v>
      </c>
      <c r="I6" s="7" t="s">
        <v>52</v>
      </c>
      <c r="J6" s="2"/>
      <c r="K6" s="8"/>
      <c r="L6" s="2"/>
      <c r="M6" s="9"/>
      <c r="N6" s="2"/>
      <c r="O6" s="2"/>
      <c r="P6" s="2"/>
      <c r="Q6" s="2"/>
      <c r="R6" s="10"/>
      <c r="S6" s="10"/>
      <c r="T6" s="10"/>
      <c r="U6" s="10"/>
      <c r="V6" s="2"/>
      <c r="W6" s="2"/>
      <c r="X6" s="2"/>
      <c r="Y6" s="2"/>
      <c r="Z6" s="2"/>
      <c r="AA6" s="2"/>
      <c r="AB6" s="11"/>
    </row>
    <row r="7" spans="2:28" s="17" customFormat="1" ht="39.9" customHeight="1">
      <c r="B7" s="15"/>
      <c r="C7" s="87" t="s">
        <v>10</v>
      </c>
      <c r="D7" s="83" t="s">
        <v>11</v>
      </c>
      <c r="E7" s="87" t="s">
        <v>12</v>
      </c>
      <c r="F7" s="83" t="s">
        <v>13</v>
      </c>
      <c r="G7" s="78" t="s">
        <v>14</v>
      </c>
      <c r="H7" s="76" t="s">
        <v>15</v>
      </c>
      <c r="I7" s="76" t="s">
        <v>16</v>
      </c>
      <c r="J7" s="84" t="s">
        <v>17</v>
      </c>
      <c r="K7" s="76" t="s">
        <v>18</v>
      </c>
      <c r="L7" s="76" t="s">
        <v>19</v>
      </c>
      <c r="M7" s="76" t="s">
        <v>20</v>
      </c>
      <c r="N7" s="76" t="s">
        <v>21</v>
      </c>
      <c r="O7" s="76" t="s">
        <v>22</v>
      </c>
      <c r="P7" s="76" t="s">
        <v>23</v>
      </c>
      <c r="Q7" s="76" t="s">
        <v>24</v>
      </c>
      <c r="R7" s="76" t="s">
        <v>25</v>
      </c>
      <c r="S7" s="76" t="s">
        <v>26</v>
      </c>
      <c r="T7" s="76" t="s">
        <v>27</v>
      </c>
      <c r="U7" s="76" t="s">
        <v>28</v>
      </c>
      <c r="V7" s="76" t="s">
        <v>29</v>
      </c>
      <c r="W7" s="86"/>
      <c r="X7" s="86"/>
      <c r="Y7" s="86"/>
      <c r="Z7" s="86"/>
      <c r="AA7" s="81"/>
      <c r="AB7" s="16"/>
    </row>
    <row r="8" spans="2:28" s="17" customFormat="1" ht="144" customHeight="1">
      <c r="B8" s="15"/>
      <c r="C8" s="77"/>
      <c r="D8" s="77"/>
      <c r="E8" s="77"/>
      <c r="F8" s="77"/>
      <c r="G8" s="79"/>
      <c r="H8" s="77"/>
      <c r="I8" s="77"/>
      <c r="J8" s="85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18" t="s">
        <v>30</v>
      </c>
      <c r="W8" s="18" t="s">
        <v>31</v>
      </c>
      <c r="X8" s="18" t="s">
        <v>32</v>
      </c>
      <c r="Y8" s="18" t="s">
        <v>33</v>
      </c>
      <c r="Z8" s="18" t="s">
        <v>34</v>
      </c>
      <c r="AA8" s="18" t="s">
        <v>35</v>
      </c>
      <c r="AB8" s="19"/>
    </row>
    <row r="9" spans="2:28" ht="113.25" customHeight="1">
      <c r="B9" s="6"/>
      <c r="C9" s="94">
        <v>1501100420</v>
      </c>
      <c r="D9" s="96">
        <v>1501103000</v>
      </c>
      <c r="E9" s="95" t="s">
        <v>53</v>
      </c>
      <c r="F9" s="22" t="s">
        <v>54</v>
      </c>
      <c r="G9" s="23">
        <v>1</v>
      </c>
      <c r="H9" s="24"/>
      <c r="I9" s="25"/>
      <c r="J9" s="23" t="s">
        <v>55</v>
      </c>
      <c r="K9" s="23"/>
      <c r="L9" s="25" t="s">
        <v>56</v>
      </c>
      <c r="M9" s="23">
        <v>1</v>
      </c>
      <c r="N9" s="26" t="s">
        <v>38</v>
      </c>
      <c r="O9" s="68">
        <v>7000000</v>
      </c>
      <c r="P9" s="69">
        <f>O9</f>
        <v>7000000</v>
      </c>
      <c r="Q9" s="23" t="s">
        <v>57</v>
      </c>
      <c r="R9" s="26">
        <v>1501</v>
      </c>
      <c r="S9" s="23">
        <v>1513</v>
      </c>
      <c r="T9" s="26" t="s">
        <v>40</v>
      </c>
      <c r="U9" s="26" t="s">
        <v>58</v>
      </c>
      <c r="V9" s="27"/>
      <c r="W9" s="28"/>
      <c r="X9" s="29"/>
      <c r="Y9" s="27"/>
      <c r="Z9" s="27"/>
      <c r="AA9" s="27"/>
      <c r="AB9" s="30"/>
    </row>
    <row r="10" spans="2:28" ht="98.25" customHeight="1">
      <c r="B10" s="6"/>
      <c r="C10" s="77"/>
      <c r="D10" s="77"/>
      <c r="E10" s="77"/>
      <c r="F10" s="20" t="s">
        <v>59</v>
      </c>
      <c r="G10" s="23">
        <v>2</v>
      </c>
      <c r="H10" s="24"/>
      <c r="I10" s="25"/>
      <c r="J10" s="23" t="s">
        <v>55</v>
      </c>
      <c r="K10" s="23"/>
      <c r="L10" s="25" t="s">
        <v>60</v>
      </c>
      <c r="M10" s="23">
        <v>1</v>
      </c>
      <c r="N10" s="26" t="s">
        <v>38</v>
      </c>
      <c r="O10" s="73">
        <v>44000000</v>
      </c>
      <c r="P10" s="73">
        <f>O10</f>
        <v>44000000</v>
      </c>
      <c r="Q10" s="25" t="s">
        <v>61</v>
      </c>
      <c r="R10" s="26">
        <v>1501</v>
      </c>
      <c r="S10" s="23">
        <v>1513</v>
      </c>
      <c r="T10" s="26" t="s">
        <v>40</v>
      </c>
      <c r="U10" s="26" t="s">
        <v>58</v>
      </c>
      <c r="V10" s="27"/>
      <c r="W10" s="28"/>
      <c r="X10" s="29"/>
      <c r="Y10" s="27"/>
      <c r="Z10" s="27"/>
      <c r="AA10" s="27"/>
      <c r="AB10" s="30"/>
    </row>
    <row r="11" spans="2:28" ht="68.25" customHeight="1">
      <c r="B11" s="6"/>
      <c r="C11" s="20"/>
      <c r="D11" s="21"/>
      <c r="E11" s="20"/>
      <c r="F11" s="21"/>
      <c r="G11" s="23"/>
      <c r="H11" s="32"/>
      <c r="I11" s="25"/>
      <c r="J11" s="25"/>
      <c r="K11" s="23"/>
      <c r="L11" s="31"/>
      <c r="M11" s="23"/>
      <c r="N11" s="26"/>
      <c r="O11" s="74"/>
      <c r="P11" s="69"/>
      <c r="Q11" s="25"/>
      <c r="R11" s="26"/>
      <c r="S11" s="23"/>
      <c r="T11" s="26"/>
      <c r="U11" s="26"/>
      <c r="V11" s="33"/>
      <c r="W11" s="28"/>
      <c r="X11" s="29"/>
      <c r="Y11" s="33"/>
      <c r="Z11" s="33"/>
      <c r="AA11" s="33"/>
      <c r="AB11" s="34"/>
    </row>
    <row r="12" spans="2:28" ht="39.9" customHeight="1">
      <c r="B12" s="6"/>
      <c r="C12" s="35"/>
      <c r="D12" s="35"/>
      <c r="K12" s="1"/>
      <c r="L12" s="46"/>
      <c r="O12" s="17" t="s">
        <v>42</v>
      </c>
      <c r="P12" s="75">
        <f>SUM(P9:P11)</f>
        <v>51000000</v>
      </c>
      <c r="AB12" s="36"/>
    </row>
    <row r="13" spans="2:28" s="42" customFormat="1" ht="39.9" customHeight="1">
      <c r="B13" s="56"/>
      <c r="C13" s="43"/>
      <c r="D13" s="43"/>
      <c r="E13" s="43"/>
      <c r="F13" s="43"/>
      <c r="L13" s="17"/>
      <c r="O13" s="17"/>
      <c r="P13" s="75"/>
      <c r="R13" s="44"/>
      <c r="S13" s="44"/>
      <c r="T13" s="44"/>
      <c r="U13" s="44"/>
      <c r="AB13" s="57"/>
    </row>
    <row r="14" spans="2:28" s="42" customFormat="1" ht="39.9" customHeight="1">
      <c r="B14" s="56"/>
      <c r="C14" s="62" t="s">
        <v>43</v>
      </c>
      <c r="D14" s="80" t="s">
        <v>44</v>
      </c>
      <c r="E14" s="81"/>
      <c r="F14" s="80" t="s">
        <v>45</v>
      </c>
      <c r="G14" s="81"/>
      <c r="H14" s="80" t="s">
        <v>46</v>
      </c>
      <c r="I14" s="81"/>
      <c r="J14" s="62" t="s">
        <v>47</v>
      </c>
      <c r="K14" s="62" t="s">
        <v>48</v>
      </c>
      <c r="L14" s="62" t="s">
        <v>49</v>
      </c>
      <c r="O14" s="17"/>
      <c r="P14" s="75"/>
      <c r="R14" s="44"/>
      <c r="S14" s="44"/>
      <c r="T14" s="44"/>
      <c r="U14" s="44"/>
      <c r="AB14" s="57"/>
    </row>
    <row r="15" spans="2:28" s="42" customFormat="1" ht="118.5" customHeight="1">
      <c r="B15" s="56"/>
      <c r="C15" s="63">
        <v>1</v>
      </c>
      <c r="D15" s="82" t="s">
        <v>62</v>
      </c>
      <c r="E15" s="81"/>
      <c r="F15" s="88">
        <v>100000000</v>
      </c>
      <c r="G15" s="81"/>
      <c r="H15" s="88">
        <v>0</v>
      </c>
      <c r="I15" s="81"/>
      <c r="J15" s="71">
        <f>F15-H15</f>
        <v>100000000</v>
      </c>
      <c r="K15" s="71">
        <f>P12</f>
        <v>51000000</v>
      </c>
      <c r="L15" s="72">
        <f>J15-K15</f>
        <v>49000000</v>
      </c>
      <c r="O15" s="17"/>
      <c r="P15" s="75"/>
      <c r="R15" s="44"/>
      <c r="S15" s="44"/>
      <c r="T15" s="44"/>
      <c r="U15" s="44"/>
      <c r="AB15" s="57"/>
    </row>
    <row r="16" spans="2:28" s="42" customFormat="1" ht="39.9" customHeight="1">
      <c r="B16" s="56"/>
      <c r="C16" s="43"/>
      <c r="D16" s="43"/>
      <c r="E16" s="43"/>
      <c r="F16" s="43"/>
      <c r="L16" s="17"/>
      <c r="O16" s="17"/>
      <c r="P16" s="75"/>
      <c r="R16" s="44"/>
      <c r="S16" s="44"/>
      <c r="T16" s="44"/>
      <c r="U16" s="44"/>
      <c r="AB16" s="57"/>
    </row>
    <row r="17" spans="2:28" s="42" customFormat="1" ht="39.9" customHeight="1">
      <c r="B17" s="56"/>
      <c r="C17" s="43"/>
      <c r="D17" s="43"/>
      <c r="E17" s="43"/>
      <c r="F17" s="43"/>
      <c r="P17" s="75"/>
      <c r="R17" s="44"/>
      <c r="S17" s="44"/>
      <c r="T17" s="44"/>
      <c r="U17" s="44"/>
      <c r="AB17" s="57"/>
    </row>
    <row r="18" spans="2:28" s="42" customFormat="1" ht="39.9" customHeight="1">
      <c r="B18" s="56"/>
      <c r="C18" s="43"/>
      <c r="D18" s="43"/>
      <c r="E18" s="43"/>
      <c r="F18" s="43"/>
      <c r="R18" s="44"/>
      <c r="S18" s="44"/>
      <c r="T18" s="44"/>
      <c r="U18" s="44"/>
      <c r="AB18" s="57"/>
    </row>
    <row r="19" spans="2:28" s="42" customFormat="1" ht="39.9" customHeight="1">
      <c r="B19" s="56"/>
      <c r="C19" s="43"/>
      <c r="D19" s="43"/>
      <c r="E19" s="43"/>
      <c r="F19" s="43"/>
      <c r="R19" s="44"/>
      <c r="S19" s="44"/>
      <c r="T19" s="44"/>
      <c r="U19" s="44"/>
      <c r="AB19" s="57"/>
    </row>
    <row r="20" spans="2:28" s="42" customFormat="1" ht="39.9" customHeight="1">
      <c r="B20" s="56"/>
      <c r="C20" s="43"/>
      <c r="D20" s="43"/>
      <c r="E20" s="43"/>
      <c r="F20" s="43"/>
      <c r="J20" s="43"/>
      <c r="R20" s="44"/>
      <c r="S20" s="44"/>
      <c r="T20" s="44"/>
      <c r="U20" s="44"/>
      <c r="AB20" s="57"/>
    </row>
    <row r="21" spans="2:28" ht="39.9" customHeight="1" thickBot="1">
      <c r="B21" s="37"/>
      <c r="C21" s="38"/>
      <c r="D21" s="38"/>
      <c r="E21" s="38"/>
      <c r="F21" s="38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40"/>
      <c r="S21" s="40"/>
      <c r="T21" s="40"/>
      <c r="U21" s="40"/>
      <c r="V21" s="39"/>
      <c r="W21" s="39"/>
      <c r="X21" s="39"/>
      <c r="Y21" s="39"/>
      <c r="Z21" s="39"/>
      <c r="AA21" s="39"/>
      <c r="AB21" s="41"/>
    </row>
    <row r="22" spans="2:28" ht="39.9" customHeight="1">
      <c r="K22" s="1"/>
    </row>
    <row r="23" spans="2:28" ht="39.9" customHeight="1">
      <c r="K23" s="1"/>
    </row>
    <row r="24" spans="2:28" s="42" customFormat="1" ht="39.9" customHeight="1">
      <c r="C24" s="43" t="s">
        <v>63</v>
      </c>
      <c r="D24" s="43"/>
      <c r="E24" s="43"/>
      <c r="F24" s="43"/>
      <c r="R24" s="44"/>
      <c r="S24" s="44"/>
      <c r="T24" s="44"/>
      <c r="U24" s="44"/>
    </row>
  </sheetData>
  <autoFilter ref="C1:C11"/>
  <mergeCells count="31">
    <mergeCell ref="C2:AB2"/>
    <mergeCell ref="O7:O8"/>
    <mergeCell ref="Q7:Q8"/>
    <mergeCell ref="D15:E15"/>
    <mergeCell ref="D5:E5"/>
    <mergeCell ref="H15:I15"/>
    <mergeCell ref="D14:E14"/>
    <mergeCell ref="F14:G14"/>
    <mergeCell ref="F7:F8"/>
    <mergeCell ref="H14:I14"/>
    <mergeCell ref="N7:N8"/>
    <mergeCell ref="V7:AA7"/>
    <mergeCell ref="D9:D10"/>
    <mergeCell ref="C7:C8"/>
    <mergeCell ref="T7:T8"/>
    <mergeCell ref="E7:E8"/>
    <mergeCell ref="K7:K8"/>
    <mergeCell ref="U7:U8"/>
    <mergeCell ref="C9:C10"/>
    <mergeCell ref="E9:E10"/>
    <mergeCell ref="F15:G15"/>
    <mergeCell ref="D7:D8"/>
    <mergeCell ref="H7:H8"/>
    <mergeCell ref="J7:J8"/>
    <mergeCell ref="P7:P8"/>
    <mergeCell ref="L7:L8"/>
    <mergeCell ref="R7:R8"/>
    <mergeCell ref="G7:G8"/>
    <mergeCell ref="I7:I8"/>
    <mergeCell ref="M7:M8"/>
    <mergeCell ref="S7:S8"/>
  </mergeCells>
  <pageMargins left="0" right="0" top="0.39370078740157483" bottom="0.39370078740157483" header="0" footer="0"/>
  <pageSetup paperSize="9" scale="18" fitToHeight="0" orientation="landscape" r:id="rId1"/>
  <colBreaks count="1" manualBreakCount="1">
    <brk id="2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35"/>
  <sheetViews>
    <sheetView view="pageBreakPreview" zoomScale="40" zoomScaleNormal="25" zoomScaleSheetLayoutView="40" workbookViewId="0">
      <selection activeCell="H14" sqref="H14"/>
    </sheetView>
  </sheetViews>
  <sheetFormatPr defaultColWidth="9" defaultRowHeight="39.9" customHeight="1"/>
  <cols>
    <col min="1" max="2" width="9" style="1" customWidth="1"/>
    <col min="3" max="3" width="28.33203125" style="2" customWidth="1"/>
    <col min="4" max="4" width="30.5546875" style="2" customWidth="1"/>
    <col min="5" max="5" width="28.33203125" style="2" customWidth="1"/>
    <col min="6" max="6" width="36.5546875" style="2" customWidth="1"/>
    <col min="7" max="7" width="9.5546875" style="1" customWidth="1"/>
    <col min="8" max="8" width="26.33203125" style="1" bestFit="1" customWidth="1"/>
    <col min="9" max="9" width="42.109375" style="1" customWidth="1"/>
    <col min="10" max="10" width="64.33203125" style="1" customWidth="1"/>
    <col min="11" max="11" width="27.109375" style="3" customWidth="1"/>
    <col min="12" max="12" width="75.6640625" style="1" customWidth="1"/>
    <col min="13" max="14" width="16.88671875" style="1" customWidth="1"/>
    <col min="15" max="15" width="37.88671875" style="1" customWidth="1"/>
    <col min="16" max="16" width="35.33203125" style="1" customWidth="1"/>
    <col min="17" max="17" width="50" style="1" customWidth="1"/>
    <col min="18" max="18" width="14.5546875" style="4" customWidth="1"/>
    <col min="19" max="19" width="21.44140625" style="4" customWidth="1"/>
    <col min="20" max="20" width="19.5546875" style="4" customWidth="1"/>
    <col min="21" max="21" width="24" style="4" customWidth="1"/>
    <col min="22" max="27" width="29.5546875" style="1" customWidth="1"/>
    <col min="28" max="28" width="8.44140625" style="1" customWidth="1"/>
    <col min="29" max="29" width="3.88671875" style="1" customWidth="1"/>
    <col min="30" max="34" width="9" style="1" customWidth="1"/>
    <col min="35" max="16384" width="9" style="1"/>
  </cols>
  <sheetData>
    <row r="1" spans="2:28" ht="39.9" customHeight="1" thickBot="1"/>
    <row r="2" spans="2:28" ht="118.5" customHeight="1">
      <c r="B2" s="5"/>
      <c r="C2" s="89" t="s">
        <v>0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1"/>
    </row>
    <row r="3" spans="2:28" ht="39.9" customHeight="1">
      <c r="B3" s="6"/>
      <c r="G3" s="2"/>
      <c r="H3" s="7" t="s">
        <v>1</v>
      </c>
      <c r="I3" s="7" t="s">
        <v>2</v>
      </c>
      <c r="J3" s="2"/>
      <c r="K3" s="8"/>
      <c r="L3" s="2"/>
      <c r="M3" s="9"/>
      <c r="N3" s="2"/>
      <c r="O3" s="2"/>
      <c r="P3" s="64"/>
      <c r="Q3" s="2"/>
      <c r="R3" s="10"/>
      <c r="S3" s="10"/>
      <c r="T3" s="10"/>
      <c r="U3" s="10"/>
      <c r="V3" s="2"/>
      <c r="W3" s="2"/>
      <c r="X3" s="2"/>
      <c r="Y3" s="2"/>
      <c r="Z3" s="2"/>
      <c r="AA3" s="2"/>
      <c r="AB3" s="11"/>
    </row>
    <row r="4" spans="2:28" ht="39.9" customHeight="1">
      <c r="B4" s="6"/>
      <c r="G4" s="2"/>
      <c r="H4" s="7" t="s">
        <v>3</v>
      </c>
      <c r="I4" s="7" t="s">
        <v>51</v>
      </c>
      <c r="J4" s="2"/>
      <c r="K4" s="8"/>
      <c r="L4" s="2"/>
      <c r="M4" s="9"/>
      <c r="N4" s="2"/>
      <c r="O4" s="2"/>
      <c r="P4" s="64"/>
      <c r="Q4" s="2"/>
      <c r="R4" s="10"/>
      <c r="S4" s="10"/>
      <c r="T4" s="10"/>
      <c r="U4" s="10"/>
      <c r="V4" s="2"/>
      <c r="W4" s="2"/>
      <c r="X4" s="2"/>
      <c r="Y4" s="2"/>
      <c r="Z4" s="2"/>
      <c r="AA4" s="2"/>
      <c r="AB4" s="11"/>
    </row>
    <row r="5" spans="2:28" ht="39.9" customHeight="1">
      <c r="B5" s="6"/>
      <c r="D5" s="92" t="s">
        <v>5</v>
      </c>
      <c r="E5" s="93"/>
      <c r="G5" s="12"/>
      <c r="H5" s="7" t="s">
        <v>6</v>
      </c>
      <c r="I5" s="7" t="s">
        <v>7</v>
      </c>
      <c r="J5" s="12"/>
      <c r="K5" s="13"/>
      <c r="L5" s="2"/>
      <c r="M5" s="9"/>
      <c r="N5" s="2"/>
      <c r="O5" s="2"/>
      <c r="P5" s="14"/>
      <c r="Q5" s="2"/>
      <c r="R5" s="10"/>
      <c r="S5" s="10"/>
      <c r="T5" s="10"/>
      <c r="U5" s="10"/>
      <c r="V5" s="2"/>
      <c r="W5" s="2"/>
      <c r="X5" s="2"/>
      <c r="Y5" s="2"/>
      <c r="Z5" s="2"/>
      <c r="AA5" s="2"/>
      <c r="AB5" s="11"/>
    </row>
    <row r="6" spans="2:28" ht="39.9" customHeight="1">
      <c r="B6" s="6"/>
      <c r="G6" s="2"/>
      <c r="H6" s="7" t="s">
        <v>8</v>
      </c>
      <c r="I6" s="7" t="s">
        <v>64</v>
      </c>
      <c r="J6" s="2"/>
      <c r="K6" s="8"/>
      <c r="L6" s="2"/>
      <c r="M6" s="9"/>
      <c r="N6" s="2"/>
      <c r="O6" s="2"/>
      <c r="P6" s="2"/>
      <c r="Q6" s="2"/>
      <c r="R6" s="10"/>
      <c r="S6" s="10"/>
      <c r="T6" s="10"/>
      <c r="U6" s="10"/>
      <c r="V6" s="2"/>
      <c r="W6" s="2"/>
      <c r="X6" s="2"/>
      <c r="Y6" s="2"/>
      <c r="Z6" s="2"/>
      <c r="AA6" s="2"/>
      <c r="AB6" s="11"/>
    </row>
    <row r="7" spans="2:28" s="17" customFormat="1" ht="39.9" customHeight="1">
      <c r="B7" s="15"/>
      <c r="C7" s="87" t="s">
        <v>10</v>
      </c>
      <c r="D7" s="83" t="s">
        <v>11</v>
      </c>
      <c r="E7" s="87" t="s">
        <v>12</v>
      </c>
      <c r="F7" s="83" t="s">
        <v>13</v>
      </c>
      <c r="G7" s="78" t="s">
        <v>14</v>
      </c>
      <c r="H7" s="76" t="s">
        <v>15</v>
      </c>
      <c r="I7" s="76" t="s">
        <v>16</v>
      </c>
      <c r="J7" s="84" t="s">
        <v>17</v>
      </c>
      <c r="K7" s="76" t="s">
        <v>18</v>
      </c>
      <c r="L7" s="76" t="s">
        <v>19</v>
      </c>
      <c r="M7" s="76" t="s">
        <v>20</v>
      </c>
      <c r="N7" s="76" t="s">
        <v>21</v>
      </c>
      <c r="O7" s="76" t="s">
        <v>22</v>
      </c>
      <c r="P7" s="76" t="s">
        <v>23</v>
      </c>
      <c r="Q7" s="76" t="s">
        <v>24</v>
      </c>
      <c r="R7" s="76" t="s">
        <v>25</v>
      </c>
      <c r="S7" s="76" t="s">
        <v>26</v>
      </c>
      <c r="T7" s="76" t="s">
        <v>27</v>
      </c>
      <c r="U7" s="76" t="s">
        <v>28</v>
      </c>
      <c r="V7" s="76" t="s">
        <v>29</v>
      </c>
      <c r="W7" s="86"/>
      <c r="X7" s="86"/>
      <c r="Y7" s="86"/>
      <c r="Z7" s="86"/>
      <c r="AA7" s="81"/>
      <c r="AB7" s="16"/>
    </row>
    <row r="8" spans="2:28" s="17" customFormat="1" ht="144" customHeight="1">
      <c r="B8" s="15"/>
      <c r="C8" s="77"/>
      <c r="D8" s="77"/>
      <c r="E8" s="77"/>
      <c r="F8" s="77"/>
      <c r="G8" s="79"/>
      <c r="H8" s="77"/>
      <c r="I8" s="77"/>
      <c r="J8" s="85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18" t="s">
        <v>30</v>
      </c>
      <c r="W8" s="18" t="s">
        <v>31</v>
      </c>
      <c r="X8" s="18" t="s">
        <v>32</v>
      </c>
      <c r="Y8" s="18" t="s">
        <v>33</v>
      </c>
      <c r="Z8" s="18" t="s">
        <v>34</v>
      </c>
      <c r="AA8" s="18" t="s">
        <v>35</v>
      </c>
      <c r="AB8" s="19"/>
    </row>
    <row r="9" spans="2:28" ht="216.75" customHeight="1">
      <c r="B9" s="6"/>
      <c r="C9" s="65">
        <v>1501100360</v>
      </c>
      <c r="D9" s="67">
        <v>1501103000</v>
      </c>
      <c r="E9" s="66" t="s">
        <v>53</v>
      </c>
      <c r="F9" s="22" t="s">
        <v>65</v>
      </c>
      <c r="G9" s="23">
        <v>1</v>
      </c>
      <c r="H9" s="24"/>
      <c r="I9" s="25"/>
      <c r="J9" s="23" t="s">
        <v>66</v>
      </c>
      <c r="K9" s="23"/>
      <c r="L9" s="25" t="s">
        <v>67</v>
      </c>
      <c r="M9" s="23">
        <v>1</v>
      </c>
      <c r="N9" s="26" t="s">
        <v>38</v>
      </c>
      <c r="O9" s="68">
        <v>455976557</v>
      </c>
      <c r="P9" s="69">
        <f>O9</f>
        <v>455976557</v>
      </c>
      <c r="Q9" s="23" t="s">
        <v>68</v>
      </c>
      <c r="R9" s="26">
        <v>1501</v>
      </c>
      <c r="S9" s="23">
        <v>1513</v>
      </c>
      <c r="T9" s="26" t="s">
        <v>40</v>
      </c>
      <c r="U9" s="26" t="s">
        <v>58</v>
      </c>
      <c r="V9" s="27"/>
      <c r="W9" s="28"/>
      <c r="X9" s="29"/>
      <c r="Y9" s="27"/>
      <c r="Z9" s="27"/>
      <c r="AA9" s="27"/>
      <c r="AB9" s="30"/>
    </row>
    <row r="10" spans="2:28" ht="68.25" customHeight="1">
      <c r="B10" s="6"/>
      <c r="C10" s="20"/>
      <c r="D10" s="21"/>
      <c r="E10" s="20"/>
      <c r="F10" s="21"/>
      <c r="G10" s="23"/>
      <c r="H10" s="32"/>
      <c r="I10" s="25"/>
      <c r="J10" s="25"/>
      <c r="K10" s="23"/>
      <c r="L10" s="31"/>
      <c r="M10" s="23"/>
      <c r="N10" s="26"/>
      <c r="O10" s="74"/>
      <c r="P10" s="69"/>
      <c r="Q10" s="25"/>
      <c r="R10" s="26"/>
      <c r="S10" s="23"/>
      <c r="T10" s="26"/>
      <c r="U10" s="26"/>
      <c r="V10" s="33"/>
      <c r="W10" s="28"/>
      <c r="X10" s="29"/>
      <c r="Y10" s="33"/>
      <c r="Z10" s="33"/>
      <c r="AA10" s="33"/>
      <c r="AB10" s="34"/>
    </row>
    <row r="11" spans="2:28" ht="39.9" customHeight="1">
      <c r="B11" s="6"/>
      <c r="C11" s="35"/>
      <c r="D11" s="35"/>
      <c r="K11" s="1"/>
      <c r="L11" s="46"/>
      <c r="O11" s="46" t="s">
        <v>42</v>
      </c>
      <c r="P11" s="70">
        <f>SUM(P9:P10)</f>
        <v>455976557</v>
      </c>
      <c r="AB11" s="36"/>
    </row>
    <row r="12" spans="2:28" ht="39.9" customHeight="1">
      <c r="B12" s="6"/>
      <c r="C12" s="55" t="s">
        <v>69</v>
      </c>
      <c r="K12" s="1"/>
      <c r="P12" s="70"/>
      <c r="AB12" s="36"/>
    </row>
    <row r="13" spans="2:28" s="45" customFormat="1" ht="39.9" customHeight="1">
      <c r="B13" s="47"/>
      <c r="C13" s="35" t="s">
        <v>70</v>
      </c>
      <c r="D13" s="35"/>
      <c r="E13" s="35"/>
      <c r="F13" s="35"/>
      <c r="R13" s="48"/>
      <c r="S13" s="48"/>
      <c r="T13" s="48"/>
      <c r="U13" s="48"/>
      <c r="AB13" s="49"/>
    </row>
    <row r="14" spans="2:28" s="45" customFormat="1" ht="39.9" customHeight="1">
      <c r="B14" s="47"/>
      <c r="C14" s="35" t="s">
        <v>71</v>
      </c>
      <c r="D14" s="35"/>
      <c r="E14" s="35"/>
      <c r="F14" s="35"/>
      <c r="R14" s="48"/>
      <c r="S14" s="48"/>
      <c r="T14" s="48"/>
      <c r="U14" s="48"/>
      <c r="AB14" s="49"/>
    </row>
    <row r="15" spans="2:28" s="45" customFormat="1" ht="39.9" customHeight="1">
      <c r="B15" s="47"/>
      <c r="C15" s="35" t="s">
        <v>72</v>
      </c>
      <c r="D15" s="35"/>
      <c r="E15" s="35"/>
      <c r="F15" s="35"/>
      <c r="R15" s="48"/>
      <c r="S15" s="48"/>
      <c r="T15" s="48"/>
      <c r="U15" s="48"/>
      <c r="AB15" s="49"/>
    </row>
    <row r="16" spans="2:28" s="45" customFormat="1" ht="39.9" customHeight="1">
      <c r="B16" s="47"/>
      <c r="C16" s="35" t="s">
        <v>73</v>
      </c>
      <c r="D16" s="35"/>
      <c r="E16" s="35"/>
      <c r="F16" s="35"/>
      <c r="R16" s="48"/>
      <c r="S16" s="48"/>
      <c r="T16" s="48"/>
      <c r="U16" s="48"/>
      <c r="AB16" s="49"/>
    </row>
    <row r="17" spans="2:28" s="45" customFormat="1" ht="39.9" customHeight="1">
      <c r="B17" s="47"/>
      <c r="C17" s="35" t="s">
        <v>74</v>
      </c>
      <c r="D17" s="35"/>
      <c r="E17" s="35"/>
      <c r="F17" s="35"/>
      <c r="J17" s="35"/>
      <c r="R17" s="48"/>
      <c r="S17" s="48"/>
      <c r="T17" s="48"/>
      <c r="U17" s="48"/>
      <c r="AB17" s="49"/>
    </row>
    <row r="18" spans="2:28" s="45" customFormat="1" ht="39.9" customHeight="1">
      <c r="B18" s="47"/>
      <c r="C18" s="35" t="s">
        <v>75</v>
      </c>
      <c r="D18" s="35"/>
      <c r="E18" s="35"/>
      <c r="F18" s="35"/>
      <c r="R18" s="48"/>
      <c r="S18" s="48"/>
      <c r="T18" s="48"/>
      <c r="U18" s="48"/>
      <c r="AB18" s="49"/>
    </row>
    <row r="19" spans="2:28" s="45" customFormat="1" ht="39.9" customHeight="1">
      <c r="B19" s="47"/>
      <c r="C19" s="35" t="s">
        <v>76</v>
      </c>
      <c r="D19" s="35"/>
      <c r="E19" s="35"/>
      <c r="F19" s="35"/>
      <c r="R19" s="48"/>
      <c r="S19" s="48"/>
      <c r="T19" s="48"/>
      <c r="U19" s="48"/>
      <c r="AB19" s="49"/>
    </row>
    <row r="20" spans="2:28" s="45" customFormat="1" ht="39.9" customHeight="1">
      <c r="B20" s="47"/>
      <c r="C20" s="35" t="s">
        <v>77</v>
      </c>
      <c r="D20" s="35"/>
      <c r="E20" s="35"/>
      <c r="F20" s="35"/>
      <c r="J20" s="35"/>
      <c r="R20" s="48"/>
      <c r="S20" s="48"/>
      <c r="T20" s="48"/>
      <c r="U20" s="48"/>
      <c r="AB20" s="49"/>
    </row>
    <row r="21" spans="2:28" s="45" customFormat="1" ht="39.9" customHeight="1">
      <c r="B21" s="47"/>
      <c r="C21" s="35" t="s">
        <v>78</v>
      </c>
      <c r="D21" s="35"/>
      <c r="E21" s="35"/>
      <c r="F21" s="35"/>
      <c r="R21" s="48"/>
      <c r="S21" s="48"/>
      <c r="T21" s="48"/>
      <c r="U21" s="48"/>
      <c r="AB21" s="49"/>
    </row>
    <row r="22" spans="2:28" s="45" customFormat="1" ht="39.9" customHeight="1">
      <c r="B22" s="47"/>
      <c r="C22" s="35" t="s">
        <v>79</v>
      </c>
      <c r="D22" s="35"/>
      <c r="E22" s="35"/>
      <c r="F22" s="35"/>
      <c r="R22" s="48"/>
      <c r="S22" s="48"/>
      <c r="T22" s="48"/>
      <c r="U22" s="48"/>
      <c r="AB22" s="49"/>
    </row>
    <row r="23" spans="2:28" s="45" customFormat="1" ht="39.9" customHeight="1">
      <c r="B23" s="47"/>
      <c r="C23" s="35" t="s">
        <v>80</v>
      </c>
      <c r="D23" s="35"/>
      <c r="E23" s="35"/>
      <c r="F23" s="35"/>
      <c r="R23" s="48"/>
      <c r="S23" s="48"/>
      <c r="T23" s="48"/>
      <c r="U23" s="48"/>
      <c r="AB23" s="49"/>
    </row>
    <row r="24" spans="2:28" s="45" customFormat="1" ht="39.9" customHeight="1">
      <c r="B24" s="47"/>
      <c r="C24" s="35" t="s">
        <v>81</v>
      </c>
      <c r="D24" s="35"/>
      <c r="E24" s="35"/>
      <c r="F24" s="35"/>
      <c r="R24" s="48"/>
      <c r="S24" s="48"/>
      <c r="T24" s="48"/>
      <c r="U24" s="48"/>
      <c r="AB24" s="49"/>
    </row>
    <row r="25" spans="2:28" s="45" customFormat="1" ht="39.9" customHeight="1">
      <c r="B25" s="47"/>
      <c r="C25" s="35" t="s">
        <v>82</v>
      </c>
      <c r="D25" s="35"/>
      <c r="E25" s="35"/>
      <c r="F25" s="35"/>
      <c r="R25" s="48"/>
      <c r="S25" s="48"/>
      <c r="T25" s="48"/>
      <c r="U25" s="48"/>
      <c r="AB25" s="49"/>
    </row>
    <row r="26" spans="2:28" s="45" customFormat="1" ht="39.9" customHeight="1">
      <c r="B26" s="47"/>
      <c r="C26" s="35" t="s">
        <v>83</v>
      </c>
      <c r="D26" s="35"/>
      <c r="E26" s="35"/>
      <c r="F26" s="35"/>
      <c r="R26" s="48"/>
      <c r="S26" s="48"/>
      <c r="T26" s="48"/>
      <c r="U26" s="48"/>
      <c r="AB26" s="49"/>
    </row>
    <row r="27" spans="2:28" s="45" customFormat="1" ht="39.9" customHeight="1">
      <c r="B27" s="47"/>
      <c r="C27" s="35" t="s">
        <v>84</v>
      </c>
      <c r="D27" s="35"/>
      <c r="E27" s="35"/>
      <c r="F27" s="35"/>
      <c r="R27" s="48"/>
      <c r="S27" s="48"/>
      <c r="T27" s="48"/>
      <c r="U27" s="48"/>
      <c r="AB27" s="49"/>
    </row>
    <row r="28" spans="2:28" s="45" customFormat="1" ht="39.9" customHeight="1">
      <c r="B28" s="47"/>
      <c r="C28" s="35" t="s">
        <v>85</v>
      </c>
      <c r="D28" s="35"/>
      <c r="E28" s="35"/>
      <c r="F28" s="35"/>
      <c r="R28" s="48"/>
      <c r="S28" s="48"/>
      <c r="T28" s="48"/>
      <c r="U28" s="48"/>
      <c r="AB28" s="49"/>
    </row>
    <row r="29" spans="2:28" s="45" customFormat="1" ht="39.9" customHeight="1">
      <c r="B29" s="47"/>
      <c r="C29" s="35" t="s">
        <v>86</v>
      </c>
      <c r="D29" s="35"/>
      <c r="E29" s="35"/>
      <c r="F29" s="35"/>
      <c r="R29" s="48"/>
      <c r="S29" s="48"/>
      <c r="T29" s="48"/>
      <c r="U29" s="48"/>
      <c r="AB29" s="49"/>
    </row>
    <row r="30" spans="2:28" s="45" customFormat="1" ht="39.9" customHeight="1">
      <c r="B30" s="47"/>
      <c r="C30" s="35" t="s">
        <v>87</v>
      </c>
      <c r="D30" s="35"/>
      <c r="E30" s="35"/>
      <c r="F30" s="35"/>
      <c r="R30" s="48"/>
      <c r="S30" s="48"/>
      <c r="T30" s="48"/>
      <c r="U30" s="48"/>
      <c r="AB30" s="49"/>
    </row>
    <row r="31" spans="2:28" s="45" customFormat="1" ht="39.9" customHeight="1">
      <c r="B31" s="47"/>
      <c r="C31" s="35"/>
      <c r="D31" s="35"/>
      <c r="E31" s="35"/>
      <c r="F31" s="35"/>
      <c r="J31" s="35"/>
      <c r="R31" s="48"/>
      <c r="S31" s="48"/>
      <c r="T31" s="48"/>
      <c r="U31" s="48"/>
      <c r="AB31" s="49"/>
    </row>
    <row r="32" spans="2:28" s="45" customFormat="1" ht="39.9" customHeight="1" thickBot="1">
      <c r="B32" s="50"/>
      <c r="C32" s="51"/>
      <c r="D32" s="51"/>
      <c r="E32" s="51"/>
      <c r="F32" s="51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3"/>
      <c r="S32" s="53"/>
      <c r="T32" s="53"/>
      <c r="U32" s="53"/>
      <c r="V32" s="52"/>
      <c r="W32" s="52"/>
      <c r="X32" s="52"/>
      <c r="Y32" s="52"/>
      <c r="Z32" s="52"/>
      <c r="AA32" s="52"/>
      <c r="AB32" s="54"/>
    </row>
    <row r="33" spans="3:21" ht="39.9" customHeight="1">
      <c r="K33" s="1"/>
    </row>
    <row r="34" spans="3:21" ht="39.9" customHeight="1">
      <c r="K34" s="1"/>
    </row>
    <row r="35" spans="3:21" s="42" customFormat="1" ht="39.9" customHeight="1">
      <c r="C35" s="43" t="s">
        <v>63</v>
      </c>
      <c r="D35" s="43"/>
      <c r="E35" s="43"/>
      <c r="F35" s="43"/>
      <c r="R35" s="44"/>
      <c r="S35" s="44"/>
      <c r="T35" s="44"/>
      <c r="U35" s="44"/>
    </row>
  </sheetData>
  <autoFilter ref="C1:C10"/>
  <mergeCells count="22">
    <mergeCell ref="C2:AB2"/>
    <mergeCell ref="Q7:Q8"/>
    <mergeCell ref="D5:E5"/>
    <mergeCell ref="F7:F8"/>
    <mergeCell ref="L7:L8"/>
    <mergeCell ref="N7:N8"/>
    <mergeCell ref="V7:AA7"/>
    <mergeCell ref="T7:T8"/>
    <mergeCell ref="C7:C8"/>
    <mergeCell ref="E7:E8"/>
    <mergeCell ref="K7:K8"/>
    <mergeCell ref="O7:O8"/>
    <mergeCell ref="U7:U8"/>
    <mergeCell ref="D7:D8"/>
    <mergeCell ref="H7:H8"/>
    <mergeCell ref="J7:J8"/>
    <mergeCell ref="P7:P8"/>
    <mergeCell ref="R7:R8"/>
    <mergeCell ref="G7:G8"/>
    <mergeCell ref="I7:I8"/>
    <mergeCell ref="M7:M8"/>
    <mergeCell ref="S7:S8"/>
  </mergeCells>
  <pageMargins left="0" right="0" top="0.39370078740157483" bottom="0.39370078740157483" header="0" footer="0"/>
  <pageSetup paperSize="9" scale="18" fitToHeight="0" orientation="landscape" r:id="rId1"/>
  <colBreaks count="1" manualBreakCount="1">
    <brk id="2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31"/>
  <sheetViews>
    <sheetView view="pageBreakPreview" topLeftCell="B1" zoomScale="40" zoomScaleNormal="25" zoomScaleSheetLayoutView="40" workbookViewId="0">
      <selection activeCell="H14" sqref="H14"/>
    </sheetView>
  </sheetViews>
  <sheetFormatPr defaultColWidth="9" defaultRowHeight="39.9" customHeight="1"/>
  <cols>
    <col min="1" max="2" width="9" style="1" customWidth="1"/>
    <col min="3" max="3" width="28.33203125" style="2" customWidth="1"/>
    <col min="4" max="4" width="30.5546875" style="2" customWidth="1"/>
    <col min="5" max="5" width="28.33203125" style="2" customWidth="1"/>
    <col min="6" max="6" width="35.109375" style="2" customWidth="1"/>
    <col min="7" max="7" width="9.5546875" style="1" customWidth="1"/>
    <col min="8" max="8" width="26.33203125" style="1" bestFit="1" customWidth="1"/>
    <col min="9" max="9" width="42.109375" style="1" customWidth="1"/>
    <col min="10" max="10" width="64.33203125" style="1" customWidth="1"/>
    <col min="11" max="11" width="27.109375" style="3" customWidth="1"/>
    <col min="12" max="12" width="75.6640625" style="1" customWidth="1"/>
    <col min="13" max="14" width="16.88671875" style="1" customWidth="1"/>
    <col min="15" max="15" width="37.88671875" style="1" customWidth="1"/>
    <col min="16" max="16" width="35.33203125" style="1" customWidth="1"/>
    <col min="17" max="17" width="50" style="1" customWidth="1"/>
    <col min="18" max="18" width="14.5546875" style="4" customWidth="1"/>
    <col min="19" max="19" width="21.44140625" style="4" customWidth="1"/>
    <col min="20" max="20" width="19.5546875" style="4" customWidth="1"/>
    <col min="21" max="21" width="24" style="4" customWidth="1"/>
    <col min="22" max="27" width="29.5546875" style="1" customWidth="1"/>
    <col min="28" max="28" width="8.44140625" style="1" customWidth="1"/>
    <col min="29" max="29" width="3.88671875" style="1" customWidth="1"/>
    <col min="30" max="34" width="9" style="1" customWidth="1"/>
    <col min="35" max="16384" width="9" style="1"/>
  </cols>
  <sheetData>
    <row r="1" spans="2:28" ht="39.9" customHeight="1" thickBot="1"/>
    <row r="2" spans="2:28" ht="118.5" customHeight="1">
      <c r="B2" s="5"/>
      <c r="C2" s="89" t="s">
        <v>0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1"/>
    </row>
    <row r="3" spans="2:28" ht="39.9" customHeight="1">
      <c r="B3" s="6"/>
      <c r="G3" s="2"/>
      <c r="H3" s="7" t="s">
        <v>1</v>
      </c>
      <c r="I3" s="7" t="s">
        <v>2</v>
      </c>
      <c r="J3" s="2"/>
      <c r="K3" s="8"/>
      <c r="L3" s="2"/>
      <c r="M3" s="9"/>
      <c r="N3" s="2"/>
      <c r="O3" s="2"/>
      <c r="P3" s="64"/>
      <c r="Q3" s="2"/>
      <c r="R3" s="10"/>
      <c r="S3" s="10"/>
      <c r="T3" s="10"/>
      <c r="U3" s="10"/>
      <c r="V3" s="2"/>
      <c r="W3" s="2"/>
      <c r="X3" s="2"/>
      <c r="Y3" s="2"/>
      <c r="Z3" s="2"/>
      <c r="AA3" s="2"/>
      <c r="AB3" s="11"/>
    </row>
    <row r="4" spans="2:28" ht="39.9" customHeight="1">
      <c r="B4" s="6"/>
      <c r="G4" s="2"/>
      <c r="H4" s="7" t="s">
        <v>3</v>
      </c>
      <c r="I4" s="7" t="s">
        <v>51</v>
      </c>
      <c r="J4" s="2"/>
      <c r="K4" s="8"/>
      <c r="L4" s="2"/>
      <c r="M4" s="9"/>
      <c r="N4" s="2"/>
      <c r="O4" s="2"/>
      <c r="P4" s="64"/>
      <c r="Q4" s="2"/>
      <c r="R4" s="10"/>
      <c r="S4" s="10"/>
      <c r="T4" s="10"/>
      <c r="U4" s="10"/>
      <c r="V4" s="2"/>
      <c r="W4" s="2"/>
      <c r="X4" s="2"/>
      <c r="Y4" s="2"/>
      <c r="Z4" s="2"/>
      <c r="AA4" s="2"/>
      <c r="AB4" s="11"/>
    </row>
    <row r="5" spans="2:28" ht="39.9" customHeight="1">
      <c r="B5" s="6"/>
      <c r="D5" s="92" t="s">
        <v>5</v>
      </c>
      <c r="E5" s="93"/>
      <c r="G5" s="12"/>
      <c r="H5" s="7" t="s">
        <v>6</v>
      </c>
      <c r="I5" s="7" t="s">
        <v>7</v>
      </c>
      <c r="J5" s="12"/>
      <c r="K5" s="13"/>
      <c r="L5" s="2"/>
      <c r="M5" s="9"/>
      <c r="N5" s="2"/>
      <c r="O5" s="2"/>
      <c r="P5" s="14"/>
      <c r="Q5" s="2"/>
      <c r="R5" s="10"/>
      <c r="S5" s="10"/>
      <c r="T5" s="10"/>
      <c r="U5" s="10"/>
      <c r="V5" s="2"/>
      <c r="W5" s="2"/>
      <c r="X5" s="2"/>
      <c r="Y5" s="2"/>
      <c r="Z5" s="2"/>
      <c r="AA5" s="2"/>
      <c r="AB5" s="11"/>
    </row>
    <row r="6" spans="2:28" ht="39.9" customHeight="1">
      <c r="B6" s="6"/>
      <c r="G6" s="2"/>
      <c r="H6" s="7" t="s">
        <v>8</v>
      </c>
      <c r="I6" s="7" t="s">
        <v>64</v>
      </c>
      <c r="J6" s="2"/>
      <c r="K6" s="8"/>
      <c r="L6" s="2"/>
      <c r="M6" s="9"/>
      <c r="N6" s="2"/>
      <c r="O6" s="2"/>
      <c r="P6" s="2"/>
      <c r="Q6" s="2"/>
      <c r="R6" s="10"/>
      <c r="S6" s="10"/>
      <c r="T6" s="10"/>
      <c r="U6" s="10"/>
      <c r="V6" s="2"/>
      <c r="W6" s="2"/>
      <c r="X6" s="2"/>
      <c r="Y6" s="2"/>
      <c r="Z6" s="2"/>
      <c r="AA6" s="2"/>
      <c r="AB6" s="11"/>
    </row>
    <row r="7" spans="2:28" s="17" customFormat="1" ht="39.9" customHeight="1">
      <c r="B7" s="15"/>
      <c r="C7" s="87" t="s">
        <v>10</v>
      </c>
      <c r="D7" s="83" t="s">
        <v>11</v>
      </c>
      <c r="E7" s="87" t="s">
        <v>12</v>
      </c>
      <c r="F7" s="83" t="s">
        <v>13</v>
      </c>
      <c r="G7" s="78" t="s">
        <v>14</v>
      </c>
      <c r="H7" s="76" t="s">
        <v>15</v>
      </c>
      <c r="I7" s="76" t="s">
        <v>16</v>
      </c>
      <c r="J7" s="84" t="s">
        <v>17</v>
      </c>
      <c r="K7" s="76" t="s">
        <v>18</v>
      </c>
      <c r="L7" s="76" t="s">
        <v>19</v>
      </c>
      <c r="M7" s="76" t="s">
        <v>20</v>
      </c>
      <c r="N7" s="76" t="s">
        <v>21</v>
      </c>
      <c r="O7" s="76" t="s">
        <v>22</v>
      </c>
      <c r="P7" s="76" t="s">
        <v>23</v>
      </c>
      <c r="Q7" s="76" t="s">
        <v>24</v>
      </c>
      <c r="R7" s="76" t="s">
        <v>25</v>
      </c>
      <c r="S7" s="76" t="s">
        <v>26</v>
      </c>
      <c r="T7" s="76" t="s">
        <v>27</v>
      </c>
      <c r="U7" s="76" t="s">
        <v>28</v>
      </c>
      <c r="V7" s="76" t="s">
        <v>29</v>
      </c>
      <c r="W7" s="86"/>
      <c r="X7" s="86"/>
      <c r="Y7" s="86"/>
      <c r="Z7" s="86"/>
      <c r="AA7" s="81"/>
      <c r="AB7" s="16"/>
    </row>
    <row r="8" spans="2:28" s="17" customFormat="1" ht="144" customHeight="1">
      <c r="B8" s="15"/>
      <c r="C8" s="77"/>
      <c r="D8" s="77"/>
      <c r="E8" s="77"/>
      <c r="F8" s="77"/>
      <c r="G8" s="79"/>
      <c r="H8" s="77"/>
      <c r="I8" s="77"/>
      <c r="J8" s="85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18" t="s">
        <v>30</v>
      </c>
      <c r="W8" s="18" t="s">
        <v>31</v>
      </c>
      <c r="X8" s="18" t="s">
        <v>32</v>
      </c>
      <c r="Y8" s="18" t="s">
        <v>33</v>
      </c>
      <c r="Z8" s="18" t="s">
        <v>34</v>
      </c>
      <c r="AA8" s="18" t="s">
        <v>35</v>
      </c>
      <c r="AB8" s="19"/>
    </row>
    <row r="9" spans="2:28" ht="216.75" customHeight="1">
      <c r="B9" s="6"/>
      <c r="C9" s="65">
        <v>1501100360</v>
      </c>
      <c r="D9" s="67">
        <v>1501103000</v>
      </c>
      <c r="E9" s="66" t="s">
        <v>53</v>
      </c>
      <c r="F9" s="22" t="s">
        <v>88</v>
      </c>
      <c r="G9" s="23">
        <v>1</v>
      </c>
      <c r="H9" s="24"/>
      <c r="I9" s="25"/>
      <c r="J9" s="23" t="s">
        <v>89</v>
      </c>
      <c r="K9" s="23"/>
      <c r="L9" s="31" t="s">
        <v>90</v>
      </c>
      <c r="M9" s="23">
        <v>1</v>
      </c>
      <c r="N9" s="26" t="s">
        <v>38</v>
      </c>
      <c r="O9" s="68">
        <f>122433000-3500000</f>
        <v>118933000</v>
      </c>
      <c r="P9" s="69">
        <f>O9</f>
        <v>118933000</v>
      </c>
      <c r="Q9" s="23" t="s">
        <v>68</v>
      </c>
      <c r="R9" s="26">
        <v>1501</v>
      </c>
      <c r="S9" s="23">
        <v>1513</v>
      </c>
      <c r="T9" s="26" t="s">
        <v>40</v>
      </c>
      <c r="U9" s="26" t="s">
        <v>58</v>
      </c>
      <c r="V9" s="27"/>
      <c r="W9" s="28"/>
      <c r="X9" s="29"/>
      <c r="Y9" s="27"/>
      <c r="Z9" s="27"/>
      <c r="AA9" s="27"/>
      <c r="AB9" s="30"/>
    </row>
    <row r="10" spans="2:28" ht="68.25" customHeight="1">
      <c r="B10" s="6"/>
      <c r="C10" s="20"/>
      <c r="D10" s="21"/>
      <c r="E10" s="20"/>
      <c r="F10" s="21"/>
      <c r="G10" s="23"/>
      <c r="H10" s="32"/>
      <c r="I10" s="25"/>
      <c r="J10" s="23"/>
      <c r="K10" s="23"/>
      <c r="L10" s="31"/>
      <c r="M10" s="23"/>
      <c r="N10" s="26"/>
      <c r="O10" s="74"/>
      <c r="P10" s="69"/>
      <c r="Q10" s="25"/>
      <c r="R10" s="26"/>
      <c r="S10" s="23"/>
      <c r="T10" s="26"/>
      <c r="U10" s="26"/>
      <c r="V10" s="33"/>
      <c r="W10" s="28"/>
      <c r="X10" s="29"/>
      <c r="Y10" s="33"/>
      <c r="Z10" s="33"/>
      <c r="AA10" s="33"/>
      <c r="AB10" s="34"/>
    </row>
    <row r="11" spans="2:28" ht="39.9" customHeight="1">
      <c r="B11" s="6"/>
      <c r="C11" s="35"/>
      <c r="D11" s="35"/>
      <c r="K11" s="1"/>
      <c r="L11" s="46"/>
      <c r="O11" s="46" t="s">
        <v>42</v>
      </c>
      <c r="P11" s="70">
        <f>SUM(P9:P10)</f>
        <v>118933000</v>
      </c>
      <c r="AB11" s="36"/>
    </row>
    <row r="12" spans="2:28" ht="39.9" customHeight="1">
      <c r="B12" s="6"/>
      <c r="K12" s="1"/>
      <c r="P12" s="70"/>
      <c r="AB12" s="36"/>
    </row>
    <row r="13" spans="2:28" ht="39.9" customHeight="1">
      <c r="B13" s="6"/>
      <c r="C13" s="55" t="s">
        <v>69</v>
      </c>
      <c r="K13" s="1"/>
      <c r="P13" s="70"/>
      <c r="AB13" s="36"/>
    </row>
    <row r="14" spans="2:28" s="45" customFormat="1" ht="39.9" customHeight="1">
      <c r="B14" s="47"/>
      <c r="C14" s="35" t="s">
        <v>91</v>
      </c>
      <c r="D14" s="35"/>
      <c r="E14" s="35"/>
      <c r="F14" s="35"/>
      <c r="R14" s="48"/>
      <c r="S14" s="48"/>
      <c r="T14" s="48"/>
      <c r="U14" s="48"/>
      <c r="AB14" s="49"/>
    </row>
    <row r="15" spans="2:28" s="45" customFormat="1" ht="39.9" customHeight="1">
      <c r="B15" s="47"/>
      <c r="C15" s="35" t="s">
        <v>92</v>
      </c>
      <c r="D15" s="35"/>
      <c r="E15" s="35"/>
      <c r="F15" s="35"/>
      <c r="R15" s="48"/>
      <c r="S15" s="48"/>
      <c r="T15" s="48"/>
      <c r="U15" s="48"/>
      <c r="AB15" s="49"/>
    </row>
    <row r="16" spans="2:28" s="45" customFormat="1" ht="39.9" customHeight="1">
      <c r="B16" s="47"/>
      <c r="C16" s="35" t="s">
        <v>93</v>
      </c>
      <c r="D16" s="35"/>
      <c r="E16" s="35"/>
      <c r="F16" s="35"/>
      <c r="R16" s="48"/>
      <c r="S16" s="48"/>
      <c r="T16" s="48"/>
      <c r="U16" s="48"/>
      <c r="AB16" s="49"/>
    </row>
    <row r="17" spans="2:28" s="45" customFormat="1" ht="39.9" customHeight="1">
      <c r="B17" s="47"/>
      <c r="C17" s="35" t="s">
        <v>94</v>
      </c>
      <c r="D17" s="35"/>
      <c r="E17" s="35"/>
      <c r="F17" s="35"/>
      <c r="R17" s="48"/>
      <c r="S17" s="48"/>
      <c r="T17" s="48"/>
      <c r="U17" s="48"/>
      <c r="AB17" s="49"/>
    </row>
    <row r="18" spans="2:28" s="45" customFormat="1" ht="39.9" customHeight="1">
      <c r="B18" s="47"/>
      <c r="C18" s="35" t="s">
        <v>95</v>
      </c>
      <c r="D18" s="35"/>
      <c r="E18" s="35"/>
      <c r="F18" s="35"/>
      <c r="J18" s="35"/>
      <c r="R18" s="48"/>
      <c r="S18" s="48"/>
      <c r="T18" s="48"/>
      <c r="U18" s="48"/>
      <c r="AB18" s="49"/>
    </row>
    <row r="19" spans="2:28" s="45" customFormat="1" ht="39.9" customHeight="1">
      <c r="B19" s="47"/>
      <c r="C19" s="35" t="s">
        <v>96</v>
      </c>
      <c r="D19" s="35"/>
      <c r="E19" s="35"/>
      <c r="F19" s="35"/>
      <c r="R19" s="48"/>
      <c r="S19" s="48"/>
      <c r="T19" s="48"/>
      <c r="U19" s="48"/>
      <c r="AB19" s="49"/>
    </row>
    <row r="20" spans="2:28" s="45" customFormat="1" ht="39.9" customHeight="1">
      <c r="B20" s="47"/>
      <c r="C20" s="35" t="s">
        <v>97</v>
      </c>
      <c r="D20" s="35"/>
      <c r="E20" s="35"/>
      <c r="F20" s="35"/>
      <c r="R20" s="48"/>
      <c r="S20" s="48"/>
      <c r="T20" s="48"/>
      <c r="U20" s="48"/>
      <c r="AB20" s="49"/>
    </row>
    <row r="21" spans="2:28" s="45" customFormat="1" ht="39.9" customHeight="1">
      <c r="B21" s="47"/>
      <c r="C21" s="35" t="s">
        <v>98</v>
      </c>
      <c r="D21" s="35"/>
      <c r="E21" s="35"/>
      <c r="F21" s="35"/>
      <c r="J21" s="35"/>
      <c r="R21" s="48"/>
      <c r="S21" s="48"/>
      <c r="T21" s="48"/>
      <c r="U21" s="48"/>
      <c r="AB21" s="49"/>
    </row>
    <row r="22" spans="2:28" s="45" customFormat="1" ht="39.9" customHeight="1">
      <c r="B22" s="47"/>
      <c r="C22" s="35" t="s">
        <v>99</v>
      </c>
      <c r="D22" s="35"/>
      <c r="E22" s="35"/>
      <c r="F22" s="35"/>
      <c r="R22" s="48"/>
      <c r="S22" s="48"/>
      <c r="T22" s="48"/>
      <c r="U22" s="48"/>
      <c r="AB22" s="49"/>
    </row>
    <row r="23" spans="2:28" s="45" customFormat="1" ht="39.9" customHeight="1">
      <c r="B23" s="47"/>
      <c r="C23" s="35" t="s">
        <v>100</v>
      </c>
      <c r="D23" s="35"/>
      <c r="E23" s="35"/>
      <c r="F23" s="35"/>
      <c r="R23" s="48"/>
      <c r="S23" s="48"/>
      <c r="T23" s="48"/>
      <c r="U23" s="48"/>
      <c r="AB23" s="49"/>
    </row>
    <row r="24" spans="2:28" s="45" customFormat="1" ht="39.9" customHeight="1">
      <c r="B24" s="47"/>
      <c r="C24" s="35" t="s">
        <v>101</v>
      </c>
      <c r="D24" s="35"/>
      <c r="E24" s="35"/>
      <c r="F24" s="35"/>
      <c r="R24" s="48"/>
      <c r="S24" s="48"/>
      <c r="T24" s="48"/>
      <c r="U24" s="48"/>
      <c r="AB24" s="49"/>
    </row>
    <row r="25" spans="2:28" s="45" customFormat="1" ht="39.9" customHeight="1">
      <c r="B25" s="47"/>
      <c r="C25" s="35" t="s">
        <v>102</v>
      </c>
      <c r="D25" s="35"/>
      <c r="E25" s="35"/>
      <c r="F25" s="35"/>
      <c r="R25" s="48"/>
      <c r="S25" s="48"/>
      <c r="T25" s="48"/>
      <c r="U25" s="48"/>
      <c r="AB25" s="49"/>
    </row>
    <row r="26" spans="2:28" s="45" customFormat="1" ht="39.9" customHeight="1">
      <c r="B26" s="47"/>
      <c r="C26" s="35" t="s">
        <v>103</v>
      </c>
      <c r="D26" s="35"/>
      <c r="E26" s="35"/>
      <c r="F26" s="35"/>
      <c r="R26" s="48"/>
      <c r="S26" s="48"/>
      <c r="T26" s="48"/>
      <c r="U26" s="48"/>
      <c r="AB26" s="49"/>
    </row>
    <row r="27" spans="2:28" ht="39.9" customHeight="1">
      <c r="B27" s="6"/>
      <c r="J27" s="2"/>
      <c r="K27" s="1"/>
      <c r="AB27" s="36"/>
    </row>
    <row r="28" spans="2:28" ht="39.9" customHeight="1" thickBot="1">
      <c r="B28" s="37"/>
      <c r="C28" s="38"/>
      <c r="D28" s="38"/>
      <c r="E28" s="38"/>
      <c r="F28" s="38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40"/>
      <c r="S28" s="40"/>
      <c r="T28" s="40"/>
      <c r="U28" s="40"/>
      <c r="V28" s="39"/>
      <c r="W28" s="39"/>
      <c r="X28" s="39"/>
      <c r="Y28" s="39"/>
      <c r="Z28" s="39"/>
      <c r="AA28" s="39"/>
      <c r="AB28" s="41"/>
    </row>
    <row r="29" spans="2:28" ht="39.9" customHeight="1">
      <c r="K29" s="1"/>
    </row>
    <row r="30" spans="2:28" ht="39.9" customHeight="1">
      <c r="K30" s="1"/>
    </row>
    <row r="31" spans="2:28" s="42" customFormat="1" ht="39.9" customHeight="1">
      <c r="C31" s="43" t="s">
        <v>63</v>
      </c>
      <c r="D31" s="43"/>
      <c r="E31" s="43"/>
      <c r="F31" s="43"/>
      <c r="R31" s="44"/>
      <c r="S31" s="44"/>
      <c r="T31" s="44"/>
      <c r="U31" s="44"/>
    </row>
  </sheetData>
  <autoFilter ref="C1:C10"/>
  <mergeCells count="22">
    <mergeCell ref="C2:AB2"/>
    <mergeCell ref="Q7:Q8"/>
    <mergeCell ref="D5:E5"/>
    <mergeCell ref="F7:F8"/>
    <mergeCell ref="L7:L8"/>
    <mergeCell ref="N7:N8"/>
    <mergeCell ref="V7:AA7"/>
    <mergeCell ref="T7:T8"/>
    <mergeCell ref="C7:C8"/>
    <mergeCell ref="E7:E8"/>
    <mergeCell ref="K7:K8"/>
    <mergeCell ref="O7:O8"/>
    <mergeCell ref="U7:U8"/>
    <mergeCell ref="D7:D8"/>
    <mergeCell ref="H7:H8"/>
    <mergeCell ref="J7:J8"/>
    <mergeCell ref="P7:P8"/>
    <mergeCell ref="R7:R8"/>
    <mergeCell ref="G7:G8"/>
    <mergeCell ref="I7:I8"/>
    <mergeCell ref="M7:M8"/>
    <mergeCell ref="S7:S8"/>
  </mergeCells>
  <pageMargins left="0" right="0" top="0.39370078740157483" bottom="0.39370078740157483" header="0" footer="0"/>
  <pageSetup paperSize="9" scale="18" fitToHeight="0" orientation="landscape" r:id="rId1"/>
  <colBreaks count="1" manualBreakCount="1">
    <brk id="2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25"/>
  <sheetViews>
    <sheetView view="pageBreakPreview" topLeftCell="A2" zoomScale="40" zoomScaleNormal="25" zoomScaleSheetLayoutView="40" workbookViewId="0">
      <selection activeCell="H14" sqref="H14"/>
    </sheetView>
  </sheetViews>
  <sheetFormatPr defaultColWidth="9" defaultRowHeight="39.9" customHeight="1"/>
  <cols>
    <col min="1" max="2" width="9" style="1" customWidth="1"/>
    <col min="3" max="3" width="28.33203125" style="2" customWidth="1"/>
    <col min="4" max="4" width="30.5546875" style="2" customWidth="1"/>
    <col min="5" max="5" width="28.33203125" style="2" customWidth="1"/>
    <col min="6" max="6" width="35.44140625" style="2" customWidth="1"/>
    <col min="7" max="7" width="9.5546875" style="1" customWidth="1"/>
    <col min="8" max="8" width="26.33203125" style="1" bestFit="1" customWidth="1"/>
    <col min="9" max="9" width="42.109375" style="1" customWidth="1"/>
    <col min="10" max="10" width="64.33203125" style="1" customWidth="1"/>
    <col min="11" max="11" width="27.109375" style="3" customWidth="1"/>
    <col min="12" max="12" width="75.6640625" style="1" customWidth="1"/>
    <col min="13" max="14" width="16.88671875" style="1" customWidth="1"/>
    <col min="15" max="15" width="37.88671875" style="1" customWidth="1"/>
    <col min="16" max="16" width="35.33203125" style="1" customWidth="1"/>
    <col min="17" max="17" width="50" style="1" customWidth="1"/>
    <col min="18" max="18" width="14.5546875" style="4" customWidth="1"/>
    <col min="19" max="19" width="21.44140625" style="4" customWidth="1"/>
    <col min="20" max="20" width="19.5546875" style="4" customWidth="1"/>
    <col min="21" max="21" width="24" style="4" customWidth="1"/>
    <col min="22" max="27" width="29.5546875" style="1" customWidth="1"/>
    <col min="28" max="28" width="8.44140625" style="1" customWidth="1"/>
    <col min="29" max="29" width="3.88671875" style="1" customWidth="1"/>
    <col min="30" max="34" width="9" style="1" customWidth="1"/>
    <col min="35" max="16384" width="9" style="1"/>
  </cols>
  <sheetData>
    <row r="1" spans="2:28" ht="39.9" customHeight="1" thickBot="1"/>
    <row r="2" spans="2:28" ht="118.5" customHeight="1">
      <c r="B2" s="5"/>
      <c r="C2" s="89" t="s">
        <v>0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1"/>
    </row>
    <row r="3" spans="2:28" ht="39.9" customHeight="1">
      <c r="B3" s="6"/>
      <c r="G3" s="2"/>
      <c r="H3" s="7" t="s">
        <v>1</v>
      </c>
      <c r="I3" s="7" t="s">
        <v>2</v>
      </c>
      <c r="J3" s="2"/>
      <c r="K3" s="8"/>
      <c r="L3" s="2"/>
      <c r="M3" s="9"/>
      <c r="N3" s="2"/>
      <c r="O3" s="2"/>
      <c r="P3" s="64"/>
      <c r="Q3" s="2"/>
      <c r="R3" s="10"/>
      <c r="S3" s="10"/>
      <c r="T3" s="10"/>
      <c r="U3" s="10"/>
      <c r="V3" s="2"/>
      <c r="W3" s="2"/>
      <c r="X3" s="2"/>
      <c r="Y3" s="2"/>
      <c r="Z3" s="2"/>
      <c r="AA3" s="2"/>
      <c r="AB3" s="11"/>
    </row>
    <row r="4" spans="2:28" ht="39.9" customHeight="1">
      <c r="B4" s="6"/>
      <c r="G4" s="2"/>
      <c r="H4" s="7" t="s">
        <v>3</v>
      </c>
      <c r="I4" s="7" t="s">
        <v>51</v>
      </c>
      <c r="J4" s="2"/>
      <c r="K4" s="8"/>
      <c r="L4" s="2"/>
      <c r="M4" s="9"/>
      <c r="N4" s="2"/>
      <c r="O4" s="2"/>
      <c r="P4" s="64"/>
      <c r="Q4" s="2"/>
      <c r="R4" s="10"/>
      <c r="S4" s="10"/>
      <c r="T4" s="10"/>
      <c r="U4" s="10"/>
      <c r="V4" s="2"/>
      <c r="W4" s="2"/>
      <c r="X4" s="2"/>
      <c r="Y4" s="2"/>
      <c r="Z4" s="2"/>
      <c r="AA4" s="2"/>
      <c r="AB4" s="11"/>
    </row>
    <row r="5" spans="2:28" ht="39.9" customHeight="1">
      <c r="B5" s="6"/>
      <c r="D5" s="92" t="s">
        <v>5</v>
      </c>
      <c r="E5" s="93"/>
      <c r="G5" s="12"/>
      <c r="H5" s="7" t="s">
        <v>6</v>
      </c>
      <c r="I5" s="7" t="s">
        <v>7</v>
      </c>
      <c r="J5" s="12"/>
      <c r="K5" s="13"/>
      <c r="L5" s="2"/>
      <c r="M5" s="9"/>
      <c r="N5" s="2"/>
      <c r="O5" s="2"/>
      <c r="P5" s="14"/>
      <c r="Q5" s="2"/>
      <c r="R5" s="10"/>
      <c r="S5" s="10"/>
      <c r="T5" s="10"/>
      <c r="U5" s="10"/>
      <c r="V5" s="2"/>
      <c r="W5" s="2"/>
      <c r="X5" s="2"/>
      <c r="Y5" s="2"/>
      <c r="Z5" s="2"/>
      <c r="AA5" s="2"/>
      <c r="AB5" s="11"/>
    </row>
    <row r="6" spans="2:28" ht="39.9" customHeight="1">
      <c r="B6" s="6"/>
      <c r="G6" s="2"/>
      <c r="H6" s="7" t="s">
        <v>8</v>
      </c>
      <c r="I6" s="7" t="s">
        <v>64</v>
      </c>
      <c r="J6" s="2"/>
      <c r="K6" s="8"/>
      <c r="L6" s="2"/>
      <c r="M6" s="9"/>
      <c r="N6" s="2"/>
      <c r="O6" s="2"/>
      <c r="P6" s="2"/>
      <c r="Q6" s="2"/>
      <c r="R6" s="10"/>
      <c r="S6" s="10"/>
      <c r="T6" s="10"/>
      <c r="U6" s="10"/>
      <c r="V6" s="2"/>
      <c r="W6" s="2"/>
      <c r="X6" s="2"/>
      <c r="Y6" s="2"/>
      <c r="Z6" s="2"/>
      <c r="AA6" s="2"/>
      <c r="AB6" s="11"/>
    </row>
    <row r="7" spans="2:28" s="17" customFormat="1" ht="39.9" customHeight="1">
      <c r="B7" s="15"/>
      <c r="C7" s="87" t="s">
        <v>10</v>
      </c>
      <c r="D7" s="83" t="s">
        <v>11</v>
      </c>
      <c r="E7" s="87" t="s">
        <v>12</v>
      </c>
      <c r="F7" s="83" t="s">
        <v>13</v>
      </c>
      <c r="G7" s="78" t="s">
        <v>14</v>
      </c>
      <c r="H7" s="76" t="s">
        <v>15</v>
      </c>
      <c r="I7" s="76" t="s">
        <v>16</v>
      </c>
      <c r="J7" s="84" t="s">
        <v>17</v>
      </c>
      <c r="K7" s="76" t="s">
        <v>18</v>
      </c>
      <c r="L7" s="76" t="s">
        <v>19</v>
      </c>
      <c r="M7" s="76" t="s">
        <v>20</v>
      </c>
      <c r="N7" s="76" t="s">
        <v>21</v>
      </c>
      <c r="O7" s="76" t="s">
        <v>22</v>
      </c>
      <c r="P7" s="76" t="s">
        <v>23</v>
      </c>
      <c r="Q7" s="76" t="s">
        <v>24</v>
      </c>
      <c r="R7" s="76" t="s">
        <v>25</v>
      </c>
      <c r="S7" s="76" t="s">
        <v>26</v>
      </c>
      <c r="T7" s="76" t="s">
        <v>27</v>
      </c>
      <c r="U7" s="76" t="s">
        <v>28</v>
      </c>
      <c r="V7" s="76" t="s">
        <v>29</v>
      </c>
      <c r="W7" s="86"/>
      <c r="X7" s="86"/>
      <c r="Y7" s="86"/>
      <c r="Z7" s="86"/>
      <c r="AA7" s="81"/>
      <c r="AB7" s="16"/>
    </row>
    <row r="8" spans="2:28" s="17" customFormat="1" ht="144" customHeight="1">
      <c r="B8" s="15"/>
      <c r="C8" s="77"/>
      <c r="D8" s="77"/>
      <c r="E8" s="77"/>
      <c r="F8" s="77"/>
      <c r="G8" s="79"/>
      <c r="H8" s="77"/>
      <c r="I8" s="77"/>
      <c r="J8" s="85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18" t="s">
        <v>30</v>
      </c>
      <c r="W8" s="18" t="s">
        <v>31</v>
      </c>
      <c r="X8" s="18" t="s">
        <v>32</v>
      </c>
      <c r="Y8" s="18" t="s">
        <v>33</v>
      </c>
      <c r="Z8" s="18" t="s">
        <v>34</v>
      </c>
      <c r="AA8" s="18" t="s">
        <v>35</v>
      </c>
      <c r="AB8" s="19"/>
    </row>
    <row r="9" spans="2:28" ht="216.75" customHeight="1">
      <c r="B9" s="6"/>
      <c r="C9" s="65">
        <v>1501100360</v>
      </c>
      <c r="D9" s="67">
        <v>1501103000</v>
      </c>
      <c r="E9" s="66" t="s">
        <v>53</v>
      </c>
      <c r="F9" s="22" t="s">
        <v>104</v>
      </c>
      <c r="G9" s="23">
        <v>1</v>
      </c>
      <c r="H9" s="24"/>
      <c r="I9" s="25"/>
      <c r="J9" s="23" t="s">
        <v>89</v>
      </c>
      <c r="K9" s="23"/>
      <c r="L9" s="31" t="s">
        <v>105</v>
      </c>
      <c r="M9" s="23">
        <v>1</v>
      </c>
      <c r="N9" s="26" t="s">
        <v>38</v>
      </c>
      <c r="O9" s="68">
        <v>352302500</v>
      </c>
      <c r="P9" s="69">
        <f>O9</f>
        <v>352302500</v>
      </c>
      <c r="Q9" s="23" t="s">
        <v>68</v>
      </c>
      <c r="R9" s="26">
        <v>1501</v>
      </c>
      <c r="S9" s="23">
        <v>1513</v>
      </c>
      <c r="T9" s="26" t="s">
        <v>40</v>
      </c>
      <c r="U9" s="26" t="s">
        <v>58</v>
      </c>
      <c r="V9" s="27"/>
      <c r="W9" s="28"/>
      <c r="X9" s="29"/>
      <c r="Y9" s="27"/>
      <c r="Z9" s="27"/>
      <c r="AA9" s="27"/>
      <c r="AB9" s="30"/>
    </row>
    <row r="10" spans="2:28" ht="68.25" customHeight="1">
      <c r="B10" s="6"/>
      <c r="C10" s="20"/>
      <c r="D10" s="21"/>
      <c r="E10" s="20"/>
      <c r="F10" s="21"/>
      <c r="G10" s="23"/>
      <c r="H10" s="32"/>
      <c r="I10" s="25"/>
      <c r="J10" s="23"/>
      <c r="K10" s="23"/>
      <c r="L10" s="31"/>
      <c r="M10" s="23"/>
      <c r="N10" s="26"/>
      <c r="O10" s="74"/>
      <c r="P10" s="69"/>
      <c r="Q10" s="25"/>
      <c r="R10" s="26"/>
      <c r="S10" s="23"/>
      <c r="T10" s="26"/>
      <c r="U10" s="26"/>
      <c r="V10" s="33"/>
      <c r="W10" s="28"/>
      <c r="X10" s="29"/>
      <c r="Y10" s="33"/>
      <c r="Z10" s="33"/>
      <c r="AA10" s="33"/>
      <c r="AB10" s="34"/>
    </row>
    <row r="11" spans="2:28" ht="39.9" customHeight="1">
      <c r="B11" s="6"/>
      <c r="C11" s="35"/>
      <c r="D11" s="35"/>
      <c r="K11" s="1"/>
      <c r="L11" s="46"/>
      <c r="O11" s="46" t="s">
        <v>42</v>
      </c>
      <c r="P11" s="70">
        <f>SUM(P9:P10)</f>
        <v>352302500</v>
      </c>
      <c r="AB11" s="36"/>
    </row>
    <row r="12" spans="2:28" ht="39.9" customHeight="1">
      <c r="B12" s="6"/>
      <c r="C12" s="55" t="s">
        <v>69</v>
      </c>
      <c r="K12" s="1"/>
      <c r="P12" s="70"/>
      <c r="AB12" s="36"/>
    </row>
    <row r="13" spans="2:28" s="45" customFormat="1" ht="39.9" customHeight="1">
      <c r="B13" s="47"/>
      <c r="C13" s="35" t="s">
        <v>106</v>
      </c>
      <c r="D13" s="35"/>
      <c r="E13" s="35"/>
      <c r="F13" s="35"/>
      <c r="R13" s="48"/>
      <c r="S13" s="48"/>
      <c r="T13" s="48"/>
      <c r="U13" s="48"/>
      <c r="AB13" s="49"/>
    </row>
    <row r="14" spans="2:28" s="45" customFormat="1" ht="39.9" customHeight="1">
      <c r="B14" s="47"/>
      <c r="C14" s="35" t="s">
        <v>107</v>
      </c>
      <c r="D14" s="35"/>
      <c r="E14" s="35"/>
      <c r="F14" s="35"/>
      <c r="R14" s="48"/>
      <c r="S14" s="48"/>
      <c r="T14" s="48"/>
      <c r="U14" s="48"/>
      <c r="AB14" s="49"/>
    </row>
    <row r="15" spans="2:28" s="45" customFormat="1" ht="39.9" customHeight="1">
      <c r="B15" s="47"/>
      <c r="C15" s="35" t="s">
        <v>108</v>
      </c>
      <c r="D15" s="35"/>
      <c r="E15" s="35"/>
      <c r="F15" s="35"/>
      <c r="R15" s="48"/>
      <c r="S15" s="48"/>
      <c r="T15" s="48"/>
      <c r="U15" s="48"/>
      <c r="AB15" s="49"/>
    </row>
    <row r="16" spans="2:28" s="45" customFormat="1" ht="39.9" customHeight="1">
      <c r="B16" s="47"/>
      <c r="C16" s="35" t="s">
        <v>109</v>
      </c>
      <c r="D16" s="35"/>
      <c r="E16" s="35"/>
      <c r="F16" s="35"/>
      <c r="R16" s="48"/>
      <c r="S16" s="48"/>
      <c r="T16" s="48"/>
      <c r="U16" s="48"/>
      <c r="AB16" s="49"/>
    </row>
    <row r="17" spans="2:28" s="45" customFormat="1" ht="39.9" customHeight="1">
      <c r="B17" s="47"/>
      <c r="C17" s="35" t="s">
        <v>110</v>
      </c>
      <c r="D17" s="35"/>
      <c r="E17" s="35"/>
      <c r="F17" s="35"/>
      <c r="J17" s="35"/>
      <c r="R17" s="48"/>
      <c r="S17" s="48"/>
      <c r="T17" s="48"/>
      <c r="U17" s="48"/>
      <c r="AB17" s="49"/>
    </row>
    <row r="18" spans="2:28" s="45" customFormat="1" ht="39.9" customHeight="1">
      <c r="B18" s="47"/>
      <c r="C18" s="35" t="s">
        <v>111</v>
      </c>
      <c r="D18" s="35"/>
      <c r="E18" s="35"/>
      <c r="F18" s="35"/>
      <c r="R18" s="48"/>
      <c r="S18" s="48"/>
      <c r="T18" s="48"/>
      <c r="U18" s="48"/>
      <c r="AB18" s="49"/>
    </row>
    <row r="19" spans="2:28" s="45" customFormat="1" ht="39.9" customHeight="1">
      <c r="B19" s="47"/>
      <c r="C19" s="35" t="s">
        <v>112</v>
      </c>
      <c r="D19" s="35"/>
      <c r="E19" s="35"/>
      <c r="F19" s="35"/>
      <c r="R19" s="48"/>
      <c r="S19" s="48"/>
      <c r="T19" s="48"/>
      <c r="U19" s="48"/>
      <c r="AB19" s="49"/>
    </row>
    <row r="20" spans="2:28" s="45" customFormat="1" ht="39.9" customHeight="1">
      <c r="B20" s="47"/>
      <c r="C20" s="35" t="s">
        <v>113</v>
      </c>
      <c r="D20" s="35"/>
      <c r="E20" s="35"/>
      <c r="F20" s="35"/>
      <c r="J20" s="35"/>
      <c r="R20" s="48"/>
      <c r="S20" s="48"/>
      <c r="T20" s="48"/>
      <c r="U20" s="48"/>
      <c r="AB20" s="49"/>
    </row>
    <row r="21" spans="2:28" ht="39.9" customHeight="1">
      <c r="B21" s="6"/>
      <c r="J21" s="2"/>
      <c r="K21" s="1"/>
      <c r="AB21" s="36"/>
    </row>
    <row r="22" spans="2:28" ht="39.9" customHeight="1" thickBot="1">
      <c r="B22" s="37"/>
      <c r="C22" s="38"/>
      <c r="D22" s="38"/>
      <c r="E22" s="38"/>
      <c r="F22" s="38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40"/>
      <c r="S22" s="40"/>
      <c r="T22" s="40"/>
      <c r="U22" s="40"/>
      <c r="V22" s="39"/>
      <c r="W22" s="39"/>
      <c r="X22" s="39"/>
      <c r="Y22" s="39"/>
      <c r="Z22" s="39"/>
      <c r="AA22" s="39"/>
      <c r="AB22" s="41"/>
    </row>
    <row r="23" spans="2:28" ht="39.9" customHeight="1">
      <c r="K23" s="1"/>
    </row>
    <row r="24" spans="2:28" ht="39.9" customHeight="1">
      <c r="K24" s="1"/>
    </row>
    <row r="25" spans="2:28" s="42" customFormat="1" ht="39.9" customHeight="1">
      <c r="C25" s="43" t="s">
        <v>63</v>
      </c>
      <c r="D25" s="43"/>
      <c r="E25" s="43"/>
      <c r="F25" s="43"/>
      <c r="R25" s="44"/>
      <c r="S25" s="44"/>
      <c r="T25" s="44"/>
      <c r="U25" s="44"/>
    </row>
  </sheetData>
  <autoFilter ref="C1:C10"/>
  <mergeCells count="22">
    <mergeCell ref="C2:AB2"/>
    <mergeCell ref="Q7:Q8"/>
    <mergeCell ref="D5:E5"/>
    <mergeCell ref="F7:F8"/>
    <mergeCell ref="L7:L8"/>
    <mergeCell ref="N7:N8"/>
    <mergeCell ref="V7:AA7"/>
    <mergeCell ref="T7:T8"/>
    <mergeCell ref="C7:C8"/>
    <mergeCell ref="E7:E8"/>
    <mergeCell ref="K7:K8"/>
    <mergeCell ref="O7:O8"/>
    <mergeCell ref="U7:U8"/>
    <mergeCell ref="D7:D8"/>
    <mergeCell ref="H7:H8"/>
    <mergeCell ref="J7:J8"/>
    <mergeCell ref="P7:P8"/>
    <mergeCell ref="R7:R8"/>
    <mergeCell ref="G7:G8"/>
    <mergeCell ref="I7:I8"/>
    <mergeCell ref="M7:M8"/>
    <mergeCell ref="S7:S8"/>
  </mergeCells>
  <pageMargins left="0" right="0" top="0.39370078740157483" bottom="0.39370078740157483" header="0" footer="0"/>
  <pageSetup paperSize="9" scale="18" fitToHeight="0" orientation="landscape" r:id="rId1"/>
  <colBreaks count="1" manualBreakCount="1">
    <brk id="2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Qi 2.1 TAM 410D</vt:lpstr>
      <vt:lpstr>SDPPI Motrex</vt:lpstr>
      <vt:lpstr>Antenna TUV</vt:lpstr>
      <vt:lpstr>Antenna Qualis</vt:lpstr>
      <vt:lpstr>Antenna Sucofindo</vt:lpstr>
      <vt:lpstr>'Antenna Qualis'!Print_Area</vt:lpstr>
      <vt:lpstr>'Antenna Sucofindo'!Print_Area</vt:lpstr>
      <vt:lpstr>'Antenna TUV'!Print_Area</vt:lpstr>
      <vt:lpstr>'Qi 2.1 TAM 410D'!Print_Area</vt:lpstr>
      <vt:lpstr>'SDPPI Motrex'!Print_Area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</dc:creator>
  <cp:lastModifiedBy>User</cp:lastModifiedBy>
  <cp:lastPrinted>2025-07-07T07:04:55Z</cp:lastPrinted>
  <dcterms:created xsi:type="dcterms:W3CDTF">2023-05-16T02:20:00Z</dcterms:created>
  <dcterms:modified xsi:type="dcterms:W3CDTF">2026-02-20T02:50:12Z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3FF2C7AC798C4A7FA2DDF939FC2DA0FE</vt:lpwstr>
  </property>
  <property fmtid="{D5CDD505-2E9C-101B-9397-08002B2CF9AE}" pid="3" name="KSOProductBuildVer">
    <vt:lpwstr>1057-11.2.0.11537</vt:lpwstr>
  </property>
</Properties>
</file>